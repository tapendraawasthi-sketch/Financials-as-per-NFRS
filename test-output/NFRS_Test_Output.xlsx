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orkings" state="veryHidden" r:id="rId4"/>
    <sheet sheetId="2" name="Instructions" state="visible" r:id="rId5"/>
    <sheet sheetId="3" name="Enter Details" state="visible" r:id="rId6"/>
    <sheet sheetId="4" name="Trial Balance" state="visible" r:id="rId7"/>
    <sheet sheetId="5" name="Balance Sheet" state="visible" r:id="rId8"/>
    <sheet sheetId="6" name="Income Statement" state="visible" r:id="rId9"/>
    <sheet sheetId="7" name="Change in Equity" state="visible" r:id="rId10"/>
    <sheet sheetId="8" name="Cash Flow" state="visible" r:id="rId11"/>
    <sheet sheetId="9" name="Note 1 - Policies" state="visible" r:id="rId12"/>
    <sheet sheetId="10" name="Note 2 - Judgments" state="visible" r:id="rId13"/>
    <sheet sheetId="11" name="Note 3.1 - PPE" state="visible" r:id="rId14"/>
    <sheet sheetId="12" name="Note 3.2 - Investments" state="visible" r:id="rId15"/>
    <sheet sheetId="13" name="Note 3.3 - Receivables" state="visible" r:id="rId16"/>
    <sheet sheetId="14" name="Note 3.4 - Other Recv" state="visible" r:id="rId17"/>
    <sheet sheetId="15" name="Note 3.5 - NC Assets" state="visible" r:id="rId18"/>
    <sheet sheetId="16" name="Note 3.6 - CA Other" state="visible" r:id="rId19"/>
    <sheet sheetId="17" name="Note 3.7 - Inventories" state="visible" r:id="rId20"/>
    <sheet sheetId="18" name="Note 3.8 - Cash" state="visible" r:id="rId21"/>
    <sheet sheetId="19" name="Note 3.9 - Share Capital" state="visible" r:id="rId22"/>
    <sheet sheetId="20" name="Note 3.10 - Reserves" state="visible" r:id="rId23"/>
    <sheet sheetId="21" name="Note 3.11 - Borrowings" state="visible" r:id="rId24"/>
    <sheet sheetId="22" name="Note 3.12 - Emp Benefits" state="visible" r:id="rId25"/>
    <sheet sheetId="23" name="Note 3.13 - Payables" state="visible" r:id="rId26"/>
    <sheet sheetId="24" name="Note 3.14 - Provisions" state="visible" r:id="rId27"/>
    <sheet sheetId="25" name="Note 3.17 - Revenue" state="visible" r:id="rId28"/>
    <sheet sheetId="26" name="Note 3.18 - Materials" state="visible" r:id="rId29"/>
    <sheet sheetId="27" name="Note 3.19 - Direct Exp" state="visible" r:id="rId30"/>
    <sheet sheetId="28" name="Note 3.20 - Emp Expense" state="visible" r:id="rId31"/>
    <sheet sheetId="29" name="Note 3.21 - Impairment" state="visible" r:id="rId32"/>
    <sheet sheetId="30" name="Note 3.22 - Admin Exp" state="visible" r:id="rId33"/>
    <sheet sheetId="31" name="Note 3.23 - Tax" state="visible" r:id="rId34"/>
    <sheet sheetId="32" name="Adjustments" state="visible" r:id="rId35"/>
    <sheet sheetId="33" name="Tax Calculation" state="visible" r:id="rId36"/>
    <sheet sheetId="34" name="Sundry Debtors" state="visible" r:id="rId37"/>
    <sheet sheetId="35" name="Sundry Creditors" state="visible" r:id="rId38"/>
    <sheet sheetId="36" name="Bank Accounts" state="visible" r:id="rId39"/>
  </sheets>
  <definedNames>
    <definedName name="FiscalYearTable">Workings!$A$2:$F$20</definedName>
    <definedName name="CompanyName">Workings!$B$30</definedName>
    <definedName name="FiscalYear">Workings!$B$31</definedName>
    <definedName name="YearEndDateBS">Workings!$B$32</definedName>
    <definedName name="YearEndDateAD">Workings!$B$33</definedName>
    <definedName name="YearStartDateBS">Workings!$B$34</definedName>
    <definedName name="YearStartDateAD">Workings!$B$35</definedName>
    <definedName name="RoundingLevel">Workings!$B$36</definedName>
    <definedName name="TaxRate">Workings!$B$37</definedName>
    <definedName name="BonusRate">Workings!$B$38</definedName>
  </definedNames>
  <calcPr calcId="171027"/>
</workbook>
</file>

<file path=xl/sharedStrings.xml><?xml version="1.0" encoding="utf-8"?>
<sst xmlns="http://schemas.openxmlformats.org/spreadsheetml/2006/main" count="732" uniqueCount="555">
  <si>
    <t>BS Year</t>
  </si>
  <si>
    <t>Start BS</t>
  </si>
  <si>
    <t>End BS</t>
  </si>
  <si>
    <t>Start AD</t>
  </si>
  <si>
    <t>End AD</t>
  </si>
  <si>
    <t>Days in Year</t>
  </si>
  <si>
    <t>2072/73</t>
  </si>
  <si>
    <t>1 Shrawan 2072</t>
  </si>
  <si>
    <t>31 Ashadh 2073</t>
  </si>
  <si>
    <t>July 17, 2015</t>
  </si>
  <si>
    <t>July 15, 2016</t>
  </si>
  <si>
    <t>2073/74</t>
  </si>
  <si>
    <t>1 Shrawan 2073</t>
  </si>
  <si>
    <t>32 Ashadh 2074</t>
  </si>
  <si>
    <t>July 16, 2016</t>
  </si>
  <si>
    <t>July 16, 2017</t>
  </si>
  <si>
    <t>2074/75</t>
  </si>
  <si>
    <t>1 Shrawan 2074</t>
  </si>
  <si>
    <t>31 Ashadh 2075</t>
  </si>
  <si>
    <t>July 17, 2017</t>
  </si>
  <si>
    <t>July 15, 2018</t>
  </si>
  <si>
    <t>2075/76</t>
  </si>
  <si>
    <t>1 Shrawan 2075</t>
  </si>
  <si>
    <t>31 Ashadh 2076</t>
  </si>
  <si>
    <t>July 16, 2018</t>
  </si>
  <si>
    <t>July 15, 2019</t>
  </si>
  <si>
    <t>2076/77</t>
  </si>
  <si>
    <t>1 Shrawan 2076</t>
  </si>
  <si>
    <t>32 Ashadh 2077</t>
  </si>
  <si>
    <t>July 16, 2019</t>
  </si>
  <si>
    <t>July 15, 2020</t>
  </si>
  <si>
    <t>2077/78</t>
  </si>
  <si>
    <t>1 Shrawan 2077</t>
  </si>
  <si>
    <t>31 Ashadh 2078</t>
  </si>
  <si>
    <t>July 16, 2020</t>
  </si>
  <si>
    <t>July 15, 2021</t>
  </si>
  <si>
    <t>2078/79</t>
  </si>
  <si>
    <t>1 Shrawan 2078</t>
  </si>
  <si>
    <t>31 Ashadh 2079</t>
  </si>
  <si>
    <t>July 16, 2021</t>
  </si>
  <si>
    <t>July 15, 2022</t>
  </si>
  <si>
    <t>2079/80</t>
  </si>
  <si>
    <t>1 Shrawan 2079</t>
  </si>
  <si>
    <t>31 Ashadh 2080</t>
  </si>
  <si>
    <t>July 17, 2022</t>
  </si>
  <si>
    <t>July 15, 2023</t>
  </si>
  <si>
    <t>2080/81</t>
  </si>
  <si>
    <t>1 Shrawan 2080</t>
  </si>
  <si>
    <t>31 Ashadh 2081</t>
  </si>
  <si>
    <t>July 16, 2023</t>
  </si>
  <si>
    <t>July 15, 2024</t>
  </si>
  <si>
    <t>2081/82</t>
  </si>
  <si>
    <t>1 Shrawan 2081</t>
  </si>
  <si>
    <t>31 Ashadh 2082</t>
  </si>
  <si>
    <t>July 16, 2024</t>
  </si>
  <si>
    <t>July 15, 2025</t>
  </si>
  <si>
    <t>2082/83</t>
  </si>
  <si>
    <t>1 Shrawan 2082</t>
  </si>
  <si>
    <t>32 Ashadh 2083</t>
  </si>
  <si>
    <t>July 16, 2025</t>
  </si>
  <si>
    <t>July 16, 2026</t>
  </si>
  <si>
    <t>2083/84</t>
  </si>
  <si>
    <t>1 Shrawan 2083</t>
  </si>
  <si>
    <t>31 Ashadh 2084</t>
  </si>
  <si>
    <t>July 17, 2026</t>
  </si>
  <si>
    <t>July 15, 2027</t>
  </si>
  <si>
    <t>2084/85</t>
  </si>
  <si>
    <t>1 Shrawan 2084</t>
  </si>
  <si>
    <t>31 Ashadh 2085</t>
  </si>
  <si>
    <t>July 16, 2027</t>
  </si>
  <si>
    <t>July 15, 2028</t>
  </si>
  <si>
    <t>2085/86</t>
  </si>
  <si>
    <t>1 Shrawan 2085</t>
  </si>
  <si>
    <t>32 Ashadh 2086</t>
  </si>
  <si>
    <t>July 15, 2029</t>
  </si>
  <si>
    <t>2086/87</t>
  </si>
  <si>
    <t>1 Shrawan 2086</t>
  </si>
  <si>
    <t>31 Ashadh 2087</t>
  </si>
  <si>
    <t>July 16, 2029</t>
  </si>
  <si>
    <t>July 15, 2030</t>
  </si>
  <si>
    <t>2087/88</t>
  </si>
  <si>
    <t>1 Shrawan 2087</t>
  </si>
  <si>
    <t>31 Ashadh 2088</t>
  </si>
  <si>
    <t>July 16, 2030</t>
  </si>
  <si>
    <t>July 15, 2031</t>
  </si>
  <si>
    <t>2088/89</t>
  </si>
  <si>
    <t>1 Shrawan 2088</t>
  </si>
  <si>
    <t>32 Ashadh 2089</t>
  </si>
  <si>
    <t>July 17, 2031</t>
  </si>
  <si>
    <t>July 16, 2032</t>
  </si>
  <si>
    <t>2089/90</t>
  </si>
  <si>
    <t>1 Shrawan 2089</t>
  </si>
  <si>
    <t>31 Ashadh 2090</t>
  </si>
  <si>
    <t>July 15, 2033</t>
  </si>
  <si>
    <t>2090/91</t>
  </si>
  <si>
    <t>1 Shrawan 2090</t>
  </si>
  <si>
    <t>31 Ashadh 2091</t>
  </si>
  <si>
    <t>July 16, 2033</t>
  </si>
  <si>
    <t>July 15, 2034</t>
  </si>
  <si>
    <t>▶ Company Parameters</t>
  </si>
  <si>
    <t>Company Name</t>
  </si>
  <si>
    <t>Himalayan Trading Pvt. Ltd.</t>
  </si>
  <si>
    <t>Fiscal Year</t>
  </si>
  <si>
    <t>End Date BS</t>
  </si>
  <si>
    <t>2082-03-31</t>
  </si>
  <si>
    <t>End Date AD</t>
  </si>
  <si>
    <t>2025-07-16</t>
  </si>
  <si>
    <t>Start Date BS</t>
  </si>
  <si>
    <t>2081-04-01</t>
  </si>
  <si>
    <t>Start Date AD</t>
  </si>
  <si>
    <t>2024-07-17</t>
  </si>
  <si>
    <t>Rounding Level (NPR)</t>
  </si>
  <si>
    <t>Income Tax Rate %</t>
  </si>
  <si>
    <t>Staff Bonus Rate %</t>
  </si>
  <si>
    <t>PAN/VAT Number</t>
  </si>
  <si>
    <t>301234567</t>
  </si>
  <si>
    <t>Registration No.</t>
  </si>
  <si>
    <t>158/070/071</t>
  </si>
  <si>
    <t>▶ Validation Dashboard</t>
  </si>
  <si>
    <t>Check</t>
  </si>
  <si>
    <t>Formula / Description</t>
  </si>
  <si>
    <t>Result</t>
  </si>
  <si>
    <t>Status</t>
  </si>
  <si>
    <t>Balance Sheet Balance</t>
  </si>
  <si>
    <t>Assets = Liabilities + Equity (difference must be 0)</t>
  </si>
  <si>
    <t>Cash Flow Reconciliation</t>
  </si>
  <si>
    <t>Closing Cash (CF) = Closing Cash (BS)</t>
  </si>
  <si>
    <t>Trial Balance Balanced</t>
  </si>
  <si>
    <t>Total Closing Dr = Total Closing Cr</t>
  </si>
  <si>
    <t>Net Profit Tie</t>
  </si>
  <si>
    <t>IS Net Profit = Equity change</t>
  </si>
  <si>
    <t>NFRS FINANCIAL REPORTER — USER GUIDE</t>
  </si>
  <si>
    <t>Green cells</t>
  </si>
  <si>
    <t>Input cells — enter your values here</t>
  </si>
  <si>
    <t>Blue headers</t>
  </si>
  <si>
    <t>Automatically calculated — do not edit</t>
  </si>
  <si>
    <t>Printing</t>
  </si>
  <si>
    <t>Use File → Print → set paper A4, scale to fit</t>
  </si>
  <si>
    <t>Trial Balance</t>
  </si>
  <si>
    <t>Enter opening and closing balances for each account</t>
  </si>
  <si>
    <t>Balance Sheet</t>
  </si>
  <si>
    <t>Auto-calculated from Trial Balance</t>
  </si>
  <si>
    <t>Income Statement</t>
  </si>
  <si>
    <t>Notes</t>
  </si>
  <si>
    <t>Detailed disclosures for each Balance Sheet line</t>
  </si>
  <si>
    <t>Depreciation</t>
  </si>
  <si>
    <t>See Note 3.1 for full PPE schedule</t>
  </si>
  <si>
    <t>PAN / VAT Number</t>
  </si>
  <si>
    <t>Company Type</t>
  </si>
  <si>
    <t>PrivateLimited</t>
  </si>
  <si>
    <t>Chairperson</t>
  </si>
  <si>
    <t/>
  </si>
  <si>
    <t>Director</t>
  </si>
  <si>
    <t>Accounts Head</t>
  </si>
  <si>
    <t>Auditor Name</t>
  </si>
  <si>
    <t>Bikash Kumar Acharya</t>
  </si>
  <si>
    <t>Audit Firm</t>
  </si>
  <si>
    <t>B.K. Acharya &amp; Associates</t>
  </si>
  <si>
    <t>Account Name</t>
  </si>
  <si>
    <t>NFRS Category</t>
  </si>
  <si>
    <t>Note</t>
  </si>
  <si>
    <t>Opening Dr</t>
  </si>
  <si>
    <t>Opening Cr</t>
  </si>
  <si>
    <t>During Dr</t>
  </si>
  <si>
    <t>During Cr</t>
  </si>
  <si>
    <t>Adj Dr</t>
  </si>
  <si>
    <t>Adj Cr</t>
  </si>
  <si>
    <t>Closing Dr</t>
  </si>
  <si>
    <t>Closing Cr</t>
  </si>
  <si>
    <t>Net Balance</t>
  </si>
  <si>
    <t>Cash in Hand</t>
  </si>
  <si>
    <t>cash_in_hand</t>
  </si>
  <si>
    <t>NIC Asia Bank Current Account</t>
  </si>
  <si>
    <t>bank_current_account</t>
  </si>
  <si>
    <t>Bank Balance</t>
  </si>
  <si>
    <t>Himalayan Bank FD</t>
  </si>
  <si>
    <t>bank_fixed_deposit_current</t>
  </si>
  <si>
    <t>Fixed Deposit (Current)</t>
  </si>
  <si>
    <t>Debtor - ABC Traders</t>
  </si>
  <si>
    <t>trade_receivables</t>
  </si>
  <si>
    <t>Sundry Debtors</t>
  </si>
  <si>
    <t>Debtor - XYZ Enterprises</t>
  </si>
  <si>
    <t>Advance to Suppliers</t>
  </si>
  <si>
    <t>other_receivables_advance_supplier</t>
  </si>
  <si>
    <t>Closing Stock</t>
  </si>
  <si>
    <t>inventory_finished_goods</t>
  </si>
  <si>
    <t>Finished Goods</t>
  </si>
  <si>
    <t>Building</t>
  </si>
  <si>
    <t>ppe_buildings</t>
  </si>
  <si>
    <t>Buildings</t>
  </si>
  <si>
    <t>Vehicle</t>
  </si>
  <si>
    <t>ppe_vehicles</t>
  </si>
  <si>
    <t>Vehicles</t>
  </si>
  <si>
    <t>Accumulated Depreciation</t>
  </si>
  <si>
    <t>accum_depreciation</t>
  </si>
  <si>
    <t>TDS Receivable</t>
  </si>
  <si>
    <t>other_receivables_tds</t>
  </si>
  <si>
    <t>Creditor - Supplier A</t>
  </si>
  <si>
    <t>trade_payables_creditors</t>
  </si>
  <si>
    <t>Sundry Creditors</t>
  </si>
  <si>
    <t>Creditor - Supplier B</t>
  </si>
  <si>
    <t>Audit Fee Payable</t>
  </si>
  <si>
    <t>audit_fee_payable</t>
  </si>
  <si>
    <t>TDS Payable</t>
  </si>
  <si>
    <t>tds_payable</t>
  </si>
  <si>
    <t>Term Loan - Nabil Bank</t>
  </si>
  <si>
    <t>borrowings_noncurrent_bank</t>
  </si>
  <si>
    <t>Term Loan - Bank</t>
  </si>
  <si>
    <t>Paid-up Capital</t>
  </si>
  <si>
    <t>share_capital</t>
  </si>
  <si>
    <t>General Reserve</t>
  </si>
  <si>
    <t>general_reserve</t>
  </si>
  <si>
    <t>Retained Earnings</t>
  </si>
  <si>
    <t>retained_earnings</t>
  </si>
  <si>
    <t>Sales Revenue</t>
  </si>
  <si>
    <t>revenue_sales</t>
  </si>
  <si>
    <t>Changes in Inventory</t>
  </si>
  <si>
    <t>Purchase</t>
  </si>
  <si>
    <t>cogs_purchases</t>
  </si>
  <si>
    <t>Purchases</t>
  </si>
  <si>
    <t>Salary</t>
  </si>
  <si>
    <t>emp_expense_salaries</t>
  </si>
  <si>
    <t>Salaries</t>
  </si>
  <si>
    <t>Provident Fund</t>
  </si>
  <si>
    <t>emp_expense_pf</t>
  </si>
  <si>
    <t>Provident Fund Expense</t>
  </si>
  <si>
    <t>Rent</t>
  </si>
  <si>
    <t>admin_rent</t>
  </si>
  <si>
    <t>Electricity</t>
  </si>
  <si>
    <t>admin_electricity</t>
  </si>
  <si>
    <t>Electricity &amp; Water</t>
  </si>
  <si>
    <t>Interest on Loan</t>
  </si>
  <si>
    <t>finance_cost_interest</t>
  </si>
  <si>
    <t>Interest Expense</t>
  </si>
  <si>
    <t>Audit Fee</t>
  </si>
  <si>
    <t>admin_audit_fee</t>
  </si>
  <si>
    <t>Other Admin Expenses</t>
  </si>
  <si>
    <t>admin_other</t>
  </si>
  <si>
    <t>Other Administrative Expenses</t>
  </si>
  <si>
    <t>VAT Payable</t>
  </si>
  <si>
    <t>other_payables</t>
  </si>
  <si>
    <t>HIMALAYAN TRADING PVT. LTD.</t>
  </si>
  <si>
    <t>STATEMENT OF FINANCIAL POSITION</t>
  </si>
  <si>
    <t>As at 31 Ashadh 82 (15 July 2025)</t>
  </si>
  <si>
    <t>All amounts in NPR (Nepalese Rupees)</t>
  </si>
  <si>
    <t>Particulars</t>
  </si>
  <si>
    <t>31 Ashadh 82</t>
  </si>
  <si>
    <t>A.  NON-CURRENT ASSETS</t>
  </si>
  <si>
    <t xml:space="preserve">  Property, Plant and Equipment</t>
  </si>
  <si>
    <t>3.1</t>
  </si>
  <si>
    <t xml:space="preserve">  Investments</t>
  </si>
  <si>
    <t>3.2</t>
  </si>
  <si>
    <t xml:space="preserve">  Other Receivables (Non-current)</t>
  </si>
  <si>
    <t>3.4</t>
  </si>
  <si>
    <t xml:space="preserve">  Other Non-Current Assets</t>
  </si>
  <si>
    <t>3.5</t>
  </si>
  <si>
    <t>Total Non-Current Assets</t>
  </si>
  <si>
    <t>B.  CURRENT ASSETS</t>
  </si>
  <si>
    <t xml:space="preserve">  Investments (Current)</t>
  </si>
  <si>
    <t xml:space="preserve">  Inventories</t>
  </si>
  <si>
    <t>3.7</t>
  </si>
  <si>
    <t xml:space="preserve">  Trade and Other Receivables</t>
  </si>
  <si>
    <t>3.3</t>
  </si>
  <si>
    <t xml:space="preserve">  Cash and Cash Equivalents</t>
  </si>
  <si>
    <t>3.8</t>
  </si>
  <si>
    <t xml:space="preserve">  Other Current Assets</t>
  </si>
  <si>
    <t>3.6</t>
  </si>
  <si>
    <t>Total Current Assets</t>
  </si>
  <si>
    <t>TOTAL ASSETS</t>
  </si>
  <si>
    <t xml:space="preserve">  Share Capital</t>
  </si>
  <si>
    <t>3.9</t>
  </si>
  <si>
    <t xml:space="preserve">  Reserves</t>
  </si>
  <si>
    <t>3.10</t>
  </si>
  <si>
    <t xml:space="preserve">  Retained Earnings</t>
  </si>
  <si>
    <t>Total Equity</t>
  </si>
  <si>
    <t>D.  NON-CURRENT LIABILITIES</t>
  </si>
  <si>
    <t xml:space="preserve">  Loans and Borrowings</t>
  </si>
  <si>
    <t>3.11</t>
  </si>
  <si>
    <t xml:space="preserve">  Employee Benefit Liabilities</t>
  </si>
  <si>
    <t>3.12</t>
  </si>
  <si>
    <t xml:space="preserve">  Provisions</t>
  </si>
  <si>
    <t>Total Non-Current Liabilities</t>
  </si>
  <si>
    <t>E.  CURRENT LIABILITIES</t>
  </si>
  <si>
    <t xml:space="preserve">  Trade and Other Payables</t>
  </si>
  <si>
    <t>3.13</t>
  </si>
  <si>
    <t xml:space="preserve">  Income Tax Liability</t>
  </si>
  <si>
    <t xml:space="preserve">  Employee Benefit Liability</t>
  </si>
  <si>
    <t xml:space="preserve">  Other Current Liabilities</t>
  </si>
  <si>
    <t>Total Current Liabilities</t>
  </si>
  <si>
    <t>TOTAL EQUITY AND LIABILITIES</t>
  </si>
  <si>
    <t>Balance Check (must be zero):</t>
  </si>
  <si>
    <t>The notes referred to above form an integral part of these financial statements.</t>
  </si>
  <si>
    <t>For and on behalf of the Board of Directors</t>
  </si>
  <si>
    <t>NOTES TO FINANCIAL STATEMENTS</t>
  </si>
  <si>
    <t>1. STATEMENT OF COMPLIANCE</t>
  </si>
  <si>
    <t>These financial statements of ${params.companyName} have been prepared in accordance with Nepal Accounting Standards for Micro Entities (NAS for MEs) issued by the Institute of Chartered Accountants of Nepal (ICAN).</t>
  </si>
  <si>
    <t>2. BASIS OF PREPARATION</t>
  </si>
  <si>
    <t>These financial statements are prepared on the historical cost basis except for certain financial instruments measured at fair values as described in the accounting policies. The financial statements are presented in Nepalese Rupees (NPR) rounded to the nearest NPR ${params.roundingLevel.toLocaleString('en-IN')}.</t>
  </si>
  <si>
    <t>3. AUTHORIZATION FOR ISSUE</t>
  </si>
  <si>
    <t>These financial statements for the fiscal year ${params.fiscalYear} were authorized for issue by the Board of Directors of ${params.companyName} on ${params.authorizationDate ?? '[Board Meeting Date]'}.</t>
  </si>
  <si>
    <t>Refer to Note 1 (Significant Accounting Policies) and Note 2 (Critical Accounting Judgments) sheets in this workbook for the complete notes to the financial statements.</t>
  </si>
  <si>
    <t>STATEMENT OF INCOME</t>
  </si>
  <si>
    <t>For the Year Ended 31 Ashadh 82</t>
  </si>
  <si>
    <t>2081-80/2081</t>
  </si>
  <si>
    <t>INCOME</t>
  </si>
  <si>
    <t xml:space="preserve">  Revenue from Operations</t>
  </si>
  <si>
    <t>3.17</t>
  </si>
  <si>
    <t xml:space="preserve">  Interest Income</t>
  </si>
  <si>
    <t xml:space="preserve">  Other Income</t>
  </si>
  <si>
    <t>Total Income</t>
  </si>
  <si>
    <t>EXPENSES</t>
  </si>
  <si>
    <t xml:space="preserve">  Material Consumed</t>
  </si>
  <si>
    <t>3.18</t>
  </si>
  <si>
    <t xml:space="preserve">  Direct Expenses</t>
  </si>
  <si>
    <t>3.19</t>
  </si>
  <si>
    <t xml:space="preserve">  Employee Benefit Expenses</t>
  </si>
  <si>
    <t>3.20</t>
  </si>
  <si>
    <t xml:space="preserve">  Finance Costs</t>
  </si>
  <si>
    <t xml:space="preserve">  Depreciation</t>
  </si>
  <si>
    <t xml:space="preserve">  Impairment Losses</t>
  </si>
  <si>
    <t>3.21</t>
  </si>
  <si>
    <t xml:space="preserve">  Administrative &amp; Other Exp</t>
  </si>
  <si>
    <t>3.22</t>
  </si>
  <si>
    <t>Total Expenses</t>
  </si>
  <si>
    <t>Profit/(Loss) before Staff Bonus</t>
  </si>
  <si>
    <t xml:space="preserve">  Less: Staff Bonus</t>
  </si>
  <si>
    <t>Profit/(Loss) before Tax</t>
  </si>
  <si>
    <t xml:space="preserve">  Less: Income Tax Expense</t>
  </si>
  <si>
    <t>3.23</t>
  </si>
  <si>
    <t>Net Profit/(Loss) for the Year</t>
  </si>
  <si>
    <t>STATEMENT OF CHANGES IN EQUITY</t>
  </si>
  <si>
    <t>Share Capital</t>
  </si>
  <si>
    <t>Share Premium</t>
  </si>
  <si>
    <t>Total</t>
  </si>
  <si>
    <t>Opening Balance (1 Shrawan)</t>
  </si>
  <si>
    <t>Profit for the Year</t>
  </si>
  <si>
    <t>Issue of Share Capital</t>
  </si>
  <si>
    <t>Transfer to General Reserve</t>
  </si>
  <si>
    <t>Dividends Paid</t>
  </si>
  <si>
    <t>Closing Balance (31 Ashadh)</t>
  </si>
  <si>
    <t>STATEMENT OF CASH FLOWS (Indirect Method)</t>
  </si>
  <si>
    <t>A.  CASH FLOWS FROM OPERATING ACTIVITIES</t>
  </si>
  <si>
    <t xml:space="preserve">  Profit Before Tax</t>
  </si>
  <si>
    <t xml:space="preserve">  Adjustments for:</t>
  </si>
  <si>
    <t xml:space="preserve">    Depreciation</t>
  </si>
  <si>
    <t xml:space="preserve">    Impairment Losses</t>
  </si>
  <si>
    <t xml:space="preserve">    Interest Income</t>
  </si>
  <si>
    <t xml:space="preserve">    Dividend Income</t>
  </si>
  <si>
    <t xml:space="preserve">    Interest Expense</t>
  </si>
  <si>
    <t xml:space="preserve">    Loss/(Gain) on Disposal of Assets</t>
  </si>
  <si>
    <t xml:space="preserve">    FV Loss/(Gain) on Investments</t>
  </si>
  <si>
    <t xml:space="preserve">  Changes in Working Capital:</t>
  </si>
  <si>
    <t xml:space="preserve">    (Increase)/Decrease in Receivables</t>
  </si>
  <si>
    <t xml:space="preserve">    (Increase)/Decrease in Inventories</t>
  </si>
  <si>
    <t xml:space="preserve">    (Increase)/Decrease in Other Current Assets</t>
  </si>
  <si>
    <t xml:space="preserve">    Increase/(Decrease) in Payables</t>
  </si>
  <si>
    <t xml:space="preserve">    Increase/(Decrease) in Tax Payable</t>
  </si>
  <si>
    <t xml:space="preserve">    Increase/(Decrease) in Employee Liabilities</t>
  </si>
  <si>
    <t>Cash Generated from Operations</t>
  </si>
  <si>
    <t xml:space="preserve">  Interest Paid</t>
  </si>
  <si>
    <t xml:space="preserve">  Income Tax Paid</t>
  </si>
  <si>
    <t>Net Cash from Operating Activities</t>
  </si>
  <si>
    <t>B.  CASH FLOWS FROM INVESTING ACTIVITIES</t>
  </si>
  <si>
    <t xml:space="preserve">  Proceeds from Disposal of PPE</t>
  </si>
  <si>
    <t xml:space="preserve">  Interest Received</t>
  </si>
  <si>
    <t xml:space="preserve">  Dividends Received</t>
  </si>
  <si>
    <t xml:space="preserve">  Purchase of PPE</t>
  </si>
  <si>
    <t xml:space="preserve">  Purchase of Investments</t>
  </si>
  <si>
    <t>Net Cash from Investing Activities</t>
  </si>
  <si>
    <t>C.  CASH FLOWS FROM FINANCING ACTIVITIES</t>
  </si>
  <si>
    <t xml:space="preserve">  Proceeds from Issue of Shares</t>
  </si>
  <si>
    <t xml:space="preserve">  Proceeds from Non-Current Borrowings</t>
  </si>
  <si>
    <t xml:space="preserve">  Repayment of Non-Current Borrowings</t>
  </si>
  <si>
    <t xml:space="preserve">  Proceeds from Current Borrowings</t>
  </si>
  <si>
    <t xml:space="preserve">  Repayment of Current Borrowings</t>
  </si>
  <si>
    <t xml:space="preserve">  Dividends Paid</t>
  </si>
  <si>
    <t>Net Cash from Financing Activities</t>
  </si>
  <si>
    <t>NET INCREASE/(DECREASE) IN CASH</t>
  </si>
  <si>
    <t xml:space="preserve">  Cash and Equivalents at Beginning of Year</t>
  </si>
  <si>
    <t>Cash and Equivalents at End of Year</t>
  </si>
  <si>
    <t xml:space="preserve">  Reconciliation Difference (should be zero)</t>
  </si>
  <si>
    <t>For B.K. Acharya &amp; Associates</t>
  </si>
  <si>
    <t>Partner</t>
  </si>
  <si>
    <t>Notes to the Financial Statements for the Year Ended 2081/82</t>
  </si>
  <si>
    <t>NOTE 1: SIGNIFICANT ACCOUNTING POLICIES</t>
  </si>
  <si>
    <t>1.1 Statement of Compliance</t>
  </si>
  <si>
    <t>These financial statements have been prepared in accordance with Nepal Accounting Standards for Micro Entities (NAS for MEs) issued by the Accounting Standards Board Nepal (AASB) under authority of the Institute of Chartered Accountants of Nepal (ICAN). Where NAS for MEs does not address a particular transaction or event, appropriate Nepal Accounting Standards (NAS), Nepal Financial Reporting Standards (NFRS), or internationally accepted accounting principles have been applied.</t>
  </si>
  <si>
    <t>1.2 Basis of Preparation</t>
  </si>
  <si>
    <t>These financial statements are prepared on the historical cost basis, except for certain financial instruments and investment properties that are measured at fair value as described in the relevant policies below. The financial statements are presented in Nepalese Rupees (NPR) and rounded to the nearest NPR 1.</t>
  </si>
  <si>
    <t>The financial statements are prepared on the going concern basis. The management has assessed the company's ability to continue as a going concern for the foreseeable future and is not aware of any material uncertainties that may cast significant doubt on this assessment.</t>
  </si>
  <si>
    <t>1.3 Reporting Period</t>
  </si>
  <si>
    <t>The financial statements cover the fiscal year 2081/82 in Bikram Sambat (BS) calendar, as mandated for companies registered in Nepal under the Companies Act 2063 and the Income Tax Act 2058. Comparative figures presented are for the immediately preceding fiscal year.</t>
  </si>
  <si>
    <t>1.4 Revenue Recognition</t>
  </si>
  <si>
    <t>Revenue is recognised when it is probable that the economic benefits associated with the transaction will flow to the company and the amount of revenue can be measured reliably.</t>
  </si>
  <si>
    <t xml:space="preserve">    (a) Sales of Goods: Revenue from the sale of goods is recognised when the significant risks and rewards of ownership have been transferred to the buyer, the company retains neither continuing managerial involvement nor effective control over the goods sold, the amount of revenue can be measured reliably, and it is probable that the economic benefits associated with the transaction will flow to the entity.</t>
  </si>
  <si>
    <t xml:space="preserve">    (b) Revenue from Services: Revenue from services is recognised when services are rendered, by reference to the stage of completion of the service transaction at the end of the reporting period.</t>
  </si>
  <si>
    <t xml:space="preserve">    (c) Interest Income: Interest income is accrued on a time basis by reference to the principal outstanding and the effective interest rate applicable.</t>
  </si>
  <si>
    <t xml:space="preserve">    (d) Dividend Income: Dividend income is recognised when the company's right to receive payment is established.</t>
  </si>
  <si>
    <t>1.5 Property, Plant &amp; Equipment (PPE)</t>
  </si>
  <si>
    <t>Property, Plant and Equipment are stated at cost less accumulated depreciation and any accumulated impairment losses. Cost includes the purchase price, import duties, non-refundable purchase taxes, and any directly attributable costs of bringing the asset to the location and condition necessary for it to be capable of operating in the manner intended by management.</t>
  </si>
  <si>
    <t>Depreciation is provided on all PPE, other than freehold land, using the Straight-Line Method (SLM) over the estimated useful lives of the assets. Depreciation commences when the assets are ready for their intended use.</t>
  </si>
  <si>
    <t>The estimated useful lives and depreciation rates applied are consistent with the rates prescribed under Schedule 2 of the Nepal Income Tax Act 2058 (as amended) and are reviewed annually by management.</t>
  </si>
  <si>
    <t>An item of PPE is derecognised upon disposal or when no future economic benefits are expected from its use or disposal. Any gain or loss arising on derecognition of the asset (calculated as the difference between the net disposal proceeds and the carrying amount of the asset) is included in the income statement in the period the item is derecognised.</t>
  </si>
  <si>
    <t>1.6 Inventories</t>
  </si>
  <si>
    <t>Inventories are stated at the lower of cost and net realisable value. Cost is determined using the Weighted Average Cost method. Net realisable value is the estimated selling price in the ordinary course of business less the estimated costs of completion and the estimated costs necessary to make the sale.</t>
  </si>
  <si>
    <t>1.7 Financial Instruments</t>
  </si>
  <si>
    <t>Financial assets comprise primarily trade receivables, other receivables, and cash and cash equivalents. They are initially measured at fair value plus transaction costs. Subsequent measurement is at amortised cost using the effective interest method.</t>
  </si>
  <si>
    <t>Trade receivables are measured at amortised cost, which is their face amount less any allowance for impairment. An allowance for impairment is created when there is objective evidence that the company will be unable to collect the amounts due, based on a review of all outstanding receivables at the balance sheet date.</t>
  </si>
  <si>
    <t>1.8 Investments</t>
  </si>
  <si>
    <t>Investments in listed equity securities are measured at fair value through profit or loss. Investments in unlisted securities and long-term investments are carried at cost less any provision for impairment in value, where no reliable fair value can be estimated.</t>
  </si>
  <si>
    <t>1.9 Employee Benefits</t>
  </si>
  <si>
    <t xml:space="preserve">    (a) Short-term employee benefits: Salaries, wages, annual leave and other short-term employee benefits are accrued in the period in which the associated services are rendered by employees.</t>
  </si>
  <si>
    <t xml:space="preserve">    (d) Staff Bonus: Provision for staff bonus is made in accordance with the Bonus Act 2030 at the rate of 10% of net profit before tax and before charging such bonus.</t>
  </si>
  <si>
    <t xml:space="preserve">    (e) Provident Fund and Social Security Fund: The company contributes to the Employee Provident Fund and Social Security Fund as required by law. Contributions are charged to the income statement as incurred.</t>
  </si>
  <si>
    <t>1.10 Income Tax</t>
  </si>
  <si>
    <t>Income tax expense represents the sum of current tax and deferred tax. Current tax is the amount of income tax payable in respect of the taxable income for the year, calculated using tax rates enacted or substantially enacted at the balance sheet date. The applicable corporate income tax rate is 25% as per the Nepal Income Tax Act 2058 (for the applicable category of company).</t>
  </si>
  <si>
    <t>Deferred tax is recognised on all temporary differences between the carrying amounts of assets and liabilities for financial reporting purposes and the amounts used for taxation purposes. Deferred tax assets are recognised to the extent that it is probable that future taxable profit will be available against which the temporary differences can be utilised.</t>
  </si>
  <si>
    <t>1.11 Foreign Currency Transactions</t>
  </si>
  <si>
    <t>Transactions in foreign currencies are recorded at the rate of exchange prevailing on the date of the transaction. Monetary assets and liabilities denominated in foreign currencies are retranslated at the rate of exchange prevailing at the balance sheet date. Exchange differences arising from the settlement of monetary items or from translating monetary items at rates different from those at which they were translated at initial recognition during the period or in previous financial statements are recognised in profit or loss in the period in which they arise.</t>
  </si>
  <si>
    <t>1.12 Authorization for Issue</t>
  </si>
  <si>
    <t>These financial statements were authorized for issue by the Board of Directors of Himalayan Trading Pvt. Ltd. on [Date].</t>
  </si>
  <si>
    <t>NOTE 2: CRITICAL ACCOUNTING JUDGMENTS AND KEY SOURCES OF ESTIMATION UNCERTAINTY</t>
  </si>
  <si>
    <t>In the application of the company's accounting policies, management is required to make judgments, estimates and assumptions about the carrying amounts of assets and liabilities that are not readily apparent from other sources. The estimates and associated assumptions are based on historical experience and other factors that are considered to be relevant. Actual results may differ from these estimates.</t>
  </si>
  <si>
    <t>The estimates and underlying assumptions are reviewed on an ongoing basis. Revisions to accounting estimates are recognised in the period in which the estimate is revised if the revision affects only that period, or in the period of the revision and future periods if the revision affects both current and future periods.</t>
  </si>
  <si>
    <t>2.1 Critical Judgments in Applying Accounting Policies</t>
  </si>
  <si>
    <t>Useful Lives of PPE</t>
  </si>
  <si>
    <t>Management determines the estimated useful lives and related depreciation charges for the company's PPE. This estimate is based on the expected physical and technical obsolescence of assets, industry norms, and the condition of the assets. Depreciation methods and estimated useful lives are reviewed annually and adjusted if appropriate.</t>
  </si>
  <si>
    <t>Impairment of Trade Receivables</t>
  </si>
  <si>
    <t>Management assesses the recoverability of trade receivables based on a review of individual debtor balances, past experience, and current economic conditions. A provision for impairment is created for receivables where there is objective evidence of impairment. The assessment involves significant judgment as to the likelihood and timing of recovery.</t>
  </si>
  <si>
    <t>Inventory Valuation</t>
  </si>
  <si>
    <t>The company estimates net realisable value for slow-moving and obsolete inventory items. These estimates take into account anticipated selling prices, costs to completion, and selling costs. Actual realisable values may differ from estimates.</t>
  </si>
  <si>
    <t>2.2 Key Sources of Estimation Uncertainty</t>
  </si>
  <si>
    <t>Income Tax</t>
  </si>
  <si>
    <t>The company is subject to income tax in Nepal. Significant judgment is required in determining the provision for income taxes. There are transactions and calculations for which the ultimate tax determination is uncertain. Where the final tax outcome of these matters is different from the amounts initially recorded, such differences will impact the income tax and deferred tax provisions in the period in which such determination is made.</t>
  </si>
  <si>
    <t>Employee Benefit Provisions</t>
  </si>
  <si>
    <t>The cost of defined benefit obligations (gratuity and leave encashment) is determined using actuarial assumptions. The principal assumptions used in the estimation are salary growth rates, employee attrition rates, and retirement ages. Changes in these assumptions will impact the carrying amount of the obligation.</t>
  </si>
  <si>
    <t>Depreciation and Residual Values</t>
  </si>
  <si>
    <t>The company reviews residual values and useful lives of assets at each reporting date. Estimation of residual values inherently involves uncertainty about future market conditions and the company's future plans for asset disposal.</t>
  </si>
  <si>
    <t>Provisions and Contingencies</t>
  </si>
  <si>
    <t>Provisions are recognised when the company has a present obligation (legal or constructive) as a result of a past event, it is probable that the company will be required to settle the obligation, and a reliable estimate can be made of the amount of the obligation. The amount recognised as a provision is the best estimate of the consideration required to settle the present obligation at the balance sheet date. Contingencies are disclosed in Note 3.16.</t>
  </si>
  <si>
    <t>3.1  Property, Plant and Equipment</t>
  </si>
  <si>
    <t>COST</t>
  </si>
  <si>
    <t xml:space="preserve">  Balance at Beginning of Year</t>
  </si>
  <si>
    <t xml:space="preserve">  Additions during the Year</t>
  </si>
  <si>
    <t xml:space="preserve">  Disposals during the Year</t>
  </si>
  <si>
    <t xml:space="preserve">  Balance at End of Year</t>
  </si>
  <si>
    <t>ACCUMULATED DEPRECIATION</t>
  </si>
  <si>
    <t xml:space="preserve">  Charge for the Year</t>
  </si>
  <si>
    <t xml:space="preserve">  On Disposals</t>
  </si>
  <si>
    <t>NET BOOK VALUE</t>
  </si>
  <si>
    <t xml:space="preserve">  At Beginning of Year</t>
  </si>
  <si>
    <t xml:space="preserve">  At End of Year</t>
  </si>
  <si>
    <t>3.2  Investments</t>
  </si>
  <si>
    <t>Current Year</t>
  </si>
  <si>
    <t>Previous Year</t>
  </si>
  <si>
    <t>3.3  Trade Receivables</t>
  </si>
  <si>
    <t>Net Trade Receivables</t>
  </si>
  <si>
    <t>3.4  Other Receivables</t>
  </si>
  <si>
    <t>VAT Receivable</t>
  </si>
  <si>
    <t>Prepayments</t>
  </si>
  <si>
    <t>Accrued Income</t>
  </si>
  <si>
    <t>Staff Advances</t>
  </si>
  <si>
    <t>Loans &amp; Advances to Others</t>
  </si>
  <si>
    <t>Other Current Assets</t>
  </si>
  <si>
    <t>3.5  Other Non-Current Assets</t>
  </si>
  <si>
    <t>Long-term Loans &amp; Advances</t>
  </si>
  <si>
    <t>Security Deposits</t>
  </si>
  <si>
    <t>Deferred Tax Asset</t>
  </si>
  <si>
    <t>3.6  Other Current Assets</t>
  </si>
  <si>
    <t>3.7  Inventories</t>
  </si>
  <si>
    <t>Raw Materials and Consumables</t>
  </si>
  <si>
    <t>Work in Progress</t>
  </si>
  <si>
    <t>Finished Goods and Goods for Resale</t>
  </si>
  <si>
    <t>3.8  Cash and Cash Equivalents</t>
  </si>
  <si>
    <t>Total Cash and Equivalents</t>
  </si>
  <si>
    <t>3.9  Share Capital</t>
  </si>
  <si>
    <t>Authorised Share Capital (shares)</t>
  </si>
  <si>
    <t>Issued and Fully Paid Shares (shares)</t>
  </si>
  <si>
    <t>Paid-up Capital (NPR)</t>
  </si>
  <si>
    <t>3.10  Reserves</t>
  </si>
  <si>
    <t>Other Reserves</t>
  </si>
  <si>
    <t>3.11  Loans and Borrowings</t>
  </si>
  <si>
    <t>Non-Current Borrowings</t>
  </si>
  <si>
    <t>Lender</t>
  </si>
  <si>
    <t>Interest Rate %</t>
  </si>
  <si>
    <t>Security</t>
  </si>
  <si>
    <t>0%</t>
  </si>
  <si>
    <t>Current Borrowings</t>
  </si>
  <si>
    <t>3.12  Employee Benefits</t>
  </si>
  <si>
    <t>salaryPayable</t>
  </si>
  <si>
    <t>bonusPayable</t>
  </si>
  <si>
    <t>pfPayable</t>
  </si>
  <si>
    <t>gratuity</t>
  </si>
  <si>
    <t>leaveEncashment</t>
  </si>
  <si>
    <t>3.13  Trade and Other Payables</t>
  </si>
  <si>
    <t>Trade Creditors (Sundry Creditors)</t>
  </si>
  <si>
    <t>Advance from Customers</t>
  </si>
  <si>
    <t>TDS / Withholding Tax Payable</t>
  </si>
  <si>
    <t>Other Payables</t>
  </si>
  <si>
    <t>3.14  Provisions</t>
  </si>
  <si>
    <t>3.17  Revenue</t>
  </si>
  <si>
    <t>Sale of Goods</t>
  </si>
  <si>
    <t>Rendering of Services</t>
  </si>
  <si>
    <t>Interest Income</t>
  </si>
  <si>
    <t>Dividend Income</t>
  </si>
  <si>
    <t>Rental Income</t>
  </si>
  <si>
    <t>Other Income</t>
  </si>
  <si>
    <t>3.18  Material Consumed</t>
  </si>
  <si>
    <t>Opening Stock</t>
  </si>
  <si>
    <t>Less: Closing Stock</t>
  </si>
  <si>
    <t>Material Consumed</t>
  </si>
  <si>
    <t>3.19  Direct Expenses</t>
  </si>
  <si>
    <t>Direct Wages &amp; Labour</t>
  </si>
  <si>
    <t>Other Direct Expenses</t>
  </si>
  <si>
    <t>3.20  Employee Benefit Expenses</t>
  </si>
  <si>
    <t>Salaries, Wages &amp; Allowances</t>
  </si>
  <si>
    <t>PF / SSF Contribution (Employer's)</t>
  </si>
  <si>
    <t>Gratuity Expense</t>
  </si>
  <si>
    <t>Leave Encashment Expense</t>
  </si>
  <si>
    <t>Staff Bonus (10% of Net Profit before Tax)</t>
  </si>
  <si>
    <t>Staff Welfare &amp; Training</t>
  </si>
  <si>
    <t>Other Employee Benefits</t>
  </si>
  <si>
    <t>3.21  Impairment</t>
  </si>
  <si>
    <t>3.22  Administrative Expenses</t>
  </si>
  <si>
    <t>Rent Expense</t>
  </si>
  <si>
    <t>Electricity, Water &amp; Utilities</t>
  </si>
  <si>
    <t>Audit Fee (Statutory &amp; Tax)</t>
  </si>
  <si>
    <t>Selling &amp; Distribution Expenses</t>
  </si>
  <si>
    <t>Miscellaneous Expenses</t>
  </si>
  <si>
    <t>3.23  Income Tax</t>
  </si>
  <si>
    <t>Profit Before Tax (per Income Statement)</t>
  </si>
  <si>
    <t>Add: Provisions (Gratuity/Leave)</t>
  </si>
  <si>
    <t>Add: Accounting Depreciation</t>
  </si>
  <si>
    <t>Less: Tax Depreciation (s.19)</t>
  </si>
  <si>
    <t>Taxable Income</t>
  </si>
  <si>
    <t>Income Tax at 25%</t>
  </si>
  <si>
    <t>Less: Advance Tax / TDS Credit</t>
  </si>
  <si>
    <t>Net Tax Payable</t>
  </si>
  <si>
    <t>Adjustment Journal Entries</t>
  </si>
  <si>
    <t>#</t>
  </si>
  <si>
    <t>Description</t>
  </si>
  <si>
    <t>Dr Account</t>
  </si>
  <si>
    <t>Cr Account</t>
  </si>
  <si>
    <t>Amount</t>
  </si>
  <si>
    <t>Note Ref</t>
  </si>
  <si>
    <t>Source</t>
  </si>
  <si>
    <t>Income Tax Computation</t>
  </si>
  <si>
    <t>Tax Rate: 25%</t>
  </si>
  <si>
    <t>Profit Before Tax</t>
  </si>
  <si>
    <t>Advance Tax / TDS Credit</t>
  </si>
  <si>
    <t>Bank Accounts</t>
  </si>
  <si>
    <t>Bank Name</t>
  </si>
  <si>
    <t>Account Type</t>
  </si>
  <si>
    <t>Current</t>
  </si>
  <si>
    <t>FD (≤3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</si>
</sst>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quot;✓ OK&quot;"/>
    <numFmt numFmtId="165" formatCode="#,##0.00;(#,##0.00);&quot;-&quot;"/>
  </numFmts>
  <fonts count="26" x14ac:knownFonts="1">
    <font>
      <color theme="1"/>
      <family val="2"/>
      <scheme val="minor"/>
      <sz val="11"/>
      <name val="Calibri"/>
    </font>
    <font>
      <b/>
      <color rgb="FFFFFFFF"/>
      <sz val="10"/>
    </font>
    <font>
      <sz val="9"/>
    </font>
    <font>
      <b/>
      <color rgb="FF1E3A5F"/>
      <sz val="10"/>
    </font>
    <font>
      <color rgb="FF374151"/>
      <sz val="9"/>
    </font>
    <font>
      <b/>
      <sz val="9"/>
    </font>
    <font>
      <color rgb="FF6B7280"/>
      <sz val="9"/>
    </font>
    <font>
      <b/>
      <sz val="14"/>
      <name val="Arial"/>
    </font>
    <font>
      <b/>
      <sz val="10"/>
      <name val="Arial"/>
    </font>
    <font>
      <sz val="10"/>
      <name val="Arial"/>
    </font>
    <font>
      <b/>
      <color rgb="FF1E40AF"/>
      <sz val="10"/>
      <name val="Arial"/>
    </font>
    <font>
      <b/>
      <color rgb="FFFFFFFF"/>
      <sz val="14"/>
      <name val="Arial"/>
    </font>
    <font>
      <b/>
      <sz val="12"/>
      <name val="Arial"/>
    </font>
    <font>
      <i/>
      <sz val="10"/>
      <name val="Arial"/>
    </font>
    <font>
      <i/>
      <color rgb="FF64748B"/>
      <sz val="8"/>
      <name val="Arial"/>
    </font>
    <font>
      <b/>
      <color rgb="FFFFFFFF"/>
      <sz val="12"/>
      <name val="Arial"/>
    </font>
    <font>
      <i/>
      <color rgb="FF64748B"/>
      <sz val="9"/>
      <name val="Arial"/>
    </font>
    <font>
      <b/>
    </font>
    <font>
      <i/>
      <sz val="9"/>
      <name val="Arial"/>
    </font>
    <font>
      <sz val="9"/>
      <name val="Arial"/>
    </font>
    <font>
      <b/>
      <color rgb="FF374151"/>
      <sz val="9"/>
    </font>
    <font>
      <i/>
      <color rgb="FF374151"/>
      <sz val="9"/>
    </font>
    <font>
      <b/>
      <color rgb="FF1E3A5F"/>
      <sz val="13"/>
    </font>
    <font>
      <sz val="10"/>
    </font>
    <font>
      <b/>
      <color rgb="FF1E3A5F"/>
      <sz val="11"/>
    </font>
    <font>
      <b/>
      <sz val="11"/>
      <name val="Arial"/>
    </font>
  </fonts>
  <fills count="13">
    <fill>
      <patternFill patternType="none"/>
    </fill>
    <fill>
      <patternFill patternType="gray125"/>
    </fill>
    <fill>
      <patternFill patternType="solid">
        <fgColor rgb="FF1E3A5F"/>
      </patternFill>
    </fill>
    <fill>
      <patternFill patternType="solid">
        <fgColor rgb="FFF8FBFF"/>
      </patternFill>
    </fill>
    <fill>
      <patternFill patternType="solid">
        <fgColor rgb="FFD6E4F0"/>
      </patternFill>
    </fill>
    <fill>
      <patternFill patternType="solid">
        <fgColor rgb="FFE8F5E9"/>
      </patternFill>
    </fill>
    <fill>
      <patternFill patternType="solid">
        <fgColor rgb="FFE9EEF5"/>
      </patternFill>
    </fill>
    <fill>
      <patternFill patternType="solid">
        <fgColor rgb="FF86EFAC"/>
      </patternFill>
    </fill>
    <fill>
      <patternFill patternType="solid">
        <fgColor rgb="FFDBEAFE"/>
      </patternFill>
    </fill>
    <fill>
      <patternFill patternType="solid">
        <fgColor rgb="FF1E3A8A"/>
      </patternFill>
    </fill>
    <fill>
      <patternFill patternType="solid">
        <fgColor rgb="FFF8FAFC"/>
      </patternFill>
    </fill>
    <fill>
      <patternFill patternType="solid">
        <fgColor rgb="FFEFF6FF"/>
      </patternFill>
    </fill>
    <fill>
      <patternFill patternType="solid">
        <fgColor rgb="FFEBF4FF"/>
      </patternFill>
    </fill>
  </fills>
  <borders count="4">
    <border>
      <left/>
      <right/>
      <top/>
      <bottom/>
      <diagonal/>
    </border>
    <border>
      <left style="thin">
        <color rgb="FFCBD5E1"/>
      </left>
      <right style="thin">
        <color rgb="FFCBD5E1"/>
      </right>
      <top style="thin">
        <color rgb="FFCBD5E1"/>
      </top>
      <bottom style="thin">
        <color rgb="FFCBD5E1"/>
      </bottom>
      <diagonal/>
    </border>
    <border>
      <left/>
      <right/>
      <top style="medium">
        <color rgb="FF1E40AF"/>
      </top>
      <bottom style="medium">
        <color rgb="FF1E40AF"/>
      </bottom>
      <diagonal/>
    </border>
    <border>
      <left/>
      <right/>
      <top style="medium">
        <color rgb="FF1E3A5F"/>
      </top>
      <bottom/>
      <diagonal/>
    </border>
  </borders>
  <cellStyleXfs count="1">
    <xf numFmtId="0" fontId="0" fillId="0" borderId="0"/>
  </cellStyleXfs>
  <cellXfs count="58">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2" fillId="3" borderId="0" xfId="0" applyFont="1" applyFill="1" applyAlignment="1">
      <alignment horizontal="left"/>
    </xf>
    <xf numFmtId="0" fontId="2" fillId="0" borderId="0" xfId="0" applyFont="1" applyAlignment="1">
      <alignment horizontal="center"/>
    </xf>
    <xf numFmtId="0" fontId="2" fillId="0" borderId="0" xfId="0" applyFont="1" applyAlignment="1">
      <alignment horizontal="left"/>
    </xf>
    <xf numFmtId="0" fontId="3" fillId="4" borderId="0" xfId="0" applyFont="1" applyFill="1"/>
    <xf numFmtId="0" fontId="4" fillId="3" borderId="0" xfId="0" applyFont="1" applyFill="1"/>
    <xf numFmtId="0" fontId="5" fillId="5" borderId="0" xfId="0" applyFont="1" applyFill="1" applyAlignment="1">
      <alignment horizontal="left"/>
    </xf>
    <xf numFmtId="0" fontId="5" fillId="6" borderId="0" xfId="0" applyFont="1" applyFill="1"/>
    <xf numFmtId="0" fontId="2" fillId="0" borderId="0" xfId="0" applyFont="1"/>
    <xf numFmtId="0" fontId="6" fillId="0" borderId="0" xfId="0" applyFont="1"/>
    <xf numFmtId="164" fontId="5" fillId="0" borderId="0" xfId="0" applyNumberFormat="1" applyFont="1"/>
    <xf numFmtId="0" fontId="5" fillId="5" borderId="0" xfId="0" applyFont="1" applyFill="1"/>
    <xf numFmtId="0" fontId="7" fillId="0" borderId="0" xfId="0" applyFont="1"/>
    <xf numFmtId="0" fontId="8" fillId="0" borderId="0" xfId="0" applyFont="1"/>
    <xf numFmtId="0" fontId="9" fillId="0" borderId="0" xfId="0" applyFont="1"/>
    <xf numFmtId="0" fontId="0" fillId="7" borderId="0" xfId="0" applyFill="1"/>
    <xf numFmtId="0" fontId="10" fillId="8" borderId="1" xfId="0" applyFont="1" applyFill="1" applyBorder="1"/>
    <xf numFmtId="0" fontId="0" fillId="0" borderId="1" xfId="0" applyBorder="1"/>
    <xf numFmtId="3" fontId="0" fillId="0" borderId="1" xfId="0" applyNumberFormat="1" applyBorder="1" applyAlignment="1">
      <alignment horizontal="right"/>
    </xf>
    <xf numFmtId="0" fontId="11" fillId="9" borderId="0" xfId="0" applyFont="1" applyFill="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right"/>
    </xf>
    <xf numFmtId="0" fontId="10" fillId="8" borderId="1" xfId="0" applyFont="1" applyFill="1" applyBorder="1" applyAlignment="1">
      <alignment horizontal="left" vertical="center"/>
    </xf>
    <xf numFmtId="0" fontId="10" fillId="8" borderId="1" xfId="0" applyFont="1" applyFill="1" applyBorder="1" applyAlignment="1">
      <alignment horizontal="center" vertical="center"/>
    </xf>
    <xf numFmtId="0" fontId="15" fillId="9" borderId="0" xfId="0" applyFont="1" applyFill="1" applyAlignment="1">
      <alignment horizontal="left" vertical="center"/>
    </xf>
    <xf numFmtId="0" fontId="16" fillId="0" borderId="1" xfId="0" applyFont="1" applyBorder="1"/>
    <xf numFmtId="0" fontId="8" fillId="10" borderId="1" xfId="0" applyFont="1" applyFill="1" applyBorder="1"/>
    <xf numFmtId="3" fontId="8" fillId="10" borderId="1" xfId="0" applyNumberFormat="1" applyFont="1" applyFill="1" applyBorder="1" applyAlignment="1">
      <alignment horizontal="right"/>
    </xf>
    <xf numFmtId="0" fontId="8" fillId="11" borderId="2" xfId="0" applyFont="1" applyFill="1" applyBorder="1"/>
    <xf numFmtId="3" fontId="8" fillId="11" borderId="2" xfId="0" applyNumberFormat="1" applyFont="1" applyFill="1" applyBorder="1" applyAlignment="1">
      <alignment horizontal="right"/>
    </xf>
    <xf numFmtId="165" fontId="17" fillId="9" borderId="0" xfId="0" applyNumberFormat="1" applyFont="1" applyFill="1" applyAlignment="1">
      <alignment horizontal="left" vertical="center"/>
    </xf>
    <xf numFmtId="0" fontId="18" fillId="0" borderId="0" xfId="0" applyFont="1"/>
    <xf numFmtId="3" fontId="0" fillId="0" borderId="0" xfId="0" applyNumberFormat="1"/>
    <xf numFmtId="0" fontId="19" fillId="0" borderId="0" xfId="0" applyFont="1"/>
    <xf numFmtId="0" fontId="0" fillId="0" borderId="3" xfId="0" applyBorder="1"/>
    <xf numFmtId="0" fontId="20" fillId="0" borderId="0" xfId="0" applyFont="1" applyAlignment="1">
      <alignment vertical="top" wrapText="1"/>
    </xf>
    <xf numFmtId="0" fontId="4" fillId="0" borderId="0" xfId="0" applyFont="1" applyAlignment="1">
      <alignment vertical="top" wrapText="1"/>
    </xf>
    <xf numFmtId="0" fontId="4" fillId="0" borderId="0" xfId="0" applyFont="1" applyAlignment="1">
      <alignment vertical="top" wrapText="1" indent="1"/>
    </xf>
    <xf numFmtId="0" fontId="21" fillId="0" borderId="0" xfId="0" applyFont="1" applyAlignment="1">
      <alignment vertical="top" wrapText="1"/>
    </xf>
    <xf numFmtId="0" fontId="11" fillId="9" borderId="0" xfId="0" applyFont="1" applyFill="1" applyAlignment="1">
      <alignment horizontal="center"/>
    </xf>
    <xf numFmtId="0" fontId="12" fillId="0" borderId="0" xfId="0" applyFont="1" applyAlignment="1">
      <alignment horizontal="center"/>
    </xf>
    <xf numFmtId="0" fontId="13" fillId="0" borderId="0" xfId="0" applyFont="1" applyAlignment="1">
      <alignment horizontal="center"/>
    </xf>
    <xf numFmtId="0" fontId="10" fillId="8" borderId="1" xfId="0" applyFont="1" applyFill="1" applyBorder="1" applyAlignment="1">
      <alignment horizontal="left"/>
    </xf>
    <xf numFmtId="0" fontId="10" fillId="8" borderId="1" xfId="0" applyFont="1" applyFill="1" applyBorder="1" applyAlignment="1">
      <alignment horizontal="center"/>
    </xf>
    <xf numFmtId="0" fontId="8" fillId="11" borderId="1" xfId="0" applyFont="1" applyFill="1" applyBorder="1"/>
    <xf numFmtId="3" fontId="8" fillId="11" borderId="1" xfId="0" applyNumberFormat="1" applyFont="1" applyFill="1" applyBorder="1" applyAlignment="1">
      <alignment horizontal="right"/>
    </xf>
    <xf numFmtId="165" fontId="17" fillId="5" borderId="1" xfId="0" applyNumberFormat="1" applyFont="1" applyFill="1" applyBorder="1" applyAlignment="1">
      <alignment horizontal="right"/>
    </xf>
    <xf numFmtId="0" fontId="22" fillId="12" borderId="0" xfId="0" applyFont="1" applyFill="1" applyAlignment="1">
      <alignment vertical="center" wrapText="1"/>
    </xf>
    <xf numFmtId="0" fontId="23" fillId="0" borderId="0" xfId="0" applyFont="1" applyAlignment="1">
      <alignment vertical="top" wrapText="1"/>
    </xf>
    <xf numFmtId="0" fontId="24" fillId="0" borderId="0" xfId="0" applyFont="1" applyAlignment="1">
      <alignment vertical="center" wrapText="1"/>
    </xf>
    <xf numFmtId="0" fontId="25" fillId="0" borderId="0" xfId="0" applyFont="1"/>
    <xf numFmtId="0" fontId="10" fillId="0" borderId="0" xfId="0" applyFont="1"/>
    <xf numFmtId="3" fontId="0" fillId="0" borderId="0" xfId="0" applyNumberFormat="1" applyAlignment="1">
      <alignment horizontal="right"/>
    </xf>
    <xf numFmtId="3" fontId="8" fillId="11" borderId="0" xfId="0" applyNumberFormat="1" applyFont="1" applyFill="1" applyAlignment="1">
      <alignment horizontal="right"/>
    </xf>
    <xf numFmtId="0" fontId="10" fillId="8"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F5F9"/>
  </sheetPr>
  <dimension ref="A1:F59"/>
  <sheetFormatPr defaultRowHeight="15" outlineLevelRow="0" outlineLevelCol="0" x14ac:dyDescent="55"/>
  <cols>
    <col min="1" max="1" width="22" customWidth="1"/>
    <col min="2" max="2" width="18" customWidth="1"/>
    <col min="3" max="5" width="16" customWidth="1"/>
    <col min="6" max="6" width="12" customWidth="1"/>
  </cols>
  <sheetData>
    <row r="1" ht="18" customHeight="1" spans="1:6" x14ac:dyDescent="0.25">
      <c r="A1" s="1" t="s">
        <v>0</v>
      </c>
      <c r="B1" s="1" t="s">
        <v>1</v>
      </c>
      <c r="C1" s="1" t="s">
        <v>2</v>
      </c>
      <c r="D1" s="1" t="s">
        <v>3</v>
      </c>
      <c r="E1" s="1" t="s">
        <v>4</v>
      </c>
      <c r="F1" s="1" t="s">
        <v>5</v>
      </c>
    </row>
    <row r="2" spans="1:6" x14ac:dyDescent="0.25">
      <c r="A2" s="2" t="s">
        <v>6</v>
      </c>
      <c r="B2" s="3" t="s">
        <v>7</v>
      </c>
      <c r="C2" s="3" t="s">
        <v>8</v>
      </c>
      <c r="D2" s="3" t="s">
        <v>9</v>
      </c>
      <c r="E2" s="3" t="s">
        <v>10</v>
      </c>
      <c r="F2" s="3">
        <v>365</v>
      </c>
    </row>
    <row r="3" spans="1:6" x14ac:dyDescent="0.25">
      <c r="A3" s="4" t="s">
        <v>11</v>
      </c>
      <c r="B3" s="5" t="s">
        <v>12</v>
      </c>
      <c r="C3" s="5" t="s">
        <v>13</v>
      </c>
      <c r="D3" s="5" t="s">
        <v>14</v>
      </c>
      <c r="E3" s="5" t="s">
        <v>15</v>
      </c>
      <c r="F3" s="5">
        <v>366</v>
      </c>
    </row>
    <row r="4" spans="1:6" x14ac:dyDescent="0.25">
      <c r="A4" s="2" t="s">
        <v>16</v>
      </c>
      <c r="B4" s="3" t="s">
        <v>17</v>
      </c>
      <c r="C4" s="3" t="s">
        <v>18</v>
      </c>
      <c r="D4" s="3" t="s">
        <v>19</v>
      </c>
      <c r="E4" s="3" t="s">
        <v>20</v>
      </c>
      <c r="F4" s="3">
        <v>365</v>
      </c>
    </row>
    <row r="5" spans="1:6" x14ac:dyDescent="0.25">
      <c r="A5" s="4" t="s">
        <v>21</v>
      </c>
      <c r="B5" s="5" t="s">
        <v>22</v>
      </c>
      <c r="C5" s="5" t="s">
        <v>23</v>
      </c>
      <c r="D5" s="5" t="s">
        <v>24</v>
      </c>
      <c r="E5" s="5" t="s">
        <v>25</v>
      </c>
      <c r="F5" s="5">
        <v>365</v>
      </c>
    </row>
    <row r="6" spans="1:6" x14ac:dyDescent="0.25">
      <c r="A6" s="2" t="s">
        <v>26</v>
      </c>
      <c r="B6" s="3" t="s">
        <v>27</v>
      </c>
      <c r="C6" s="3" t="s">
        <v>28</v>
      </c>
      <c r="D6" s="3" t="s">
        <v>29</v>
      </c>
      <c r="E6" s="3" t="s">
        <v>30</v>
      </c>
      <c r="F6" s="3">
        <v>366</v>
      </c>
    </row>
    <row r="7" spans="1:6" x14ac:dyDescent="0.25">
      <c r="A7" s="4" t="s">
        <v>31</v>
      </c>
      <c r="B7" s="5" t="s">
        <v>32</v>
      </c>
      <c r="C7" s="5" t="s">
        <v>33</v>
      </c>
      <c r="D7" s="5" t="s">
        <v>34</v>
      </c>
      <c r="E7" s="5" t="s">
        <v>35</v>
      </c>
      <c r="F7" s="5">
        <v>365</v>
      </c>
    </row>
    <row r="8" spans="1:6" x14ac:dyDescent="0.25">
      <c r="A8" s="2" t="s">
        <v>36</v>
      </c>
      <c r="B8" s="3" t="s">
        <v>37</v>
      </c>
      <c r="C8" s="3" t="s">
        <v>38</v>
      </c>
      <c r="D8" s="3" t="s">
        <v>39</v>
      </c>
      <c r="E8" s="3" t="s">
        <v>40</v>
      </c>
      <c r="F8" s="3">
        <v>365</v>
      </c>
    </row>
    <row r="9" spans="1:6" x14ac:dyDescent="0.25">
      <c r="A9" s="4" t="s">
        <v>41</v>
      </c>
      <c r="B9" s="5" t="s">
        <v>42</v>
      </c>
      <c r="C9" s="5" t="s">
        <v>43</v>
      </c>
      <c r="D9" s="5" t="s">
        <v>44</v>
      </c>
      <c r="E9" s="5" t="s">
        <v>45</v>
      </c>
      <c r="F9" s="5">
        <v>365</v>
      </c>
    </row>
    <row r="10" spans="1:6" x14ac:dyDescent="0.25">
      <c r="A10" s="2" t="s">
        <v>46</v>
      </c>
      <c r="B10" s="3" t="s">
        <v>47</v>
      </c>
      <c r="C10" s="3" t="s">
        <v>48</v>
      </c>
      <c r="D10" s="3" t="s">
        <v>49</v>
      </c>
      <c r="E10" s="3" t="s">
        <v>50</v>
      </c>
      <c r="F10" s="3">
        <v>365</v>
      </c>
    </row>
    <row r="11" spans="1:6" x14ac:dyDescent="0.25">
      <c r="A11" s="4" t="s">
        <v>51</v>
      </c>
      <c r="B11" s="5" t="s">
        <v>52</v>
      </c>
      <c r="C11" s="5" t="s">
        <v>53</v>
      </c>
      <c r="D11" s="5" t="s">
        <v>54</v>
      </c>
      <c r="E11" s="5" t="s">
        <v>55</v>
      </c>
      <c r="F11" s="5">
        <v>365</v>
      </c>
    </row>
    <row r="12" spans="1:6" x14ac:dyDescent="0.25">
      <c r="A12" s="2" t="s">
        <v>56</v>
      </c>
      <c r="B12" s="3" t="s">
        <v>57</v>
      </c>
      <c r="C12" s="3" t="s">
        <v>58</v>
      </c>
      <c r="D12" s="3" t="s">
        <v>59</v>
      </c>
      <c r="E12" s="3" t="s">
        <v>60</v>
      </c>
      <c r="F12" s="3">
        <v>366</v>
      </c>
    </row>
    <row r="13" spans="1:6" x14ac:dyDescent="0.25">
      <c r="A13" s="4" t="s">
        <v>61</v>
      </c>
      <c r="B13" s="5" t="s">
        <v>62</v>
      </c>
      <c r="C13" s="5" t="s">
        <v>63</v>
      </c>
      <c r="D13" s="5" t="s">
        <v>64</v>
      </c>
      <c r="E13" s="5" t="s">
        <v>65</v>
      </c>
      <c r="F13" s="5">
        <v>365</v>
      </c>
    </row>
    <row r="14" spans="1:6" x14ac:dyDescent="0.25">
      <c r="A14" s="2" t="s">
        <v>66</v>
      </c>
      <c r="B14" s="3" t="s">
        <v>67</v>
      </c>
      <c r="C14" s="3" t="s">
        <v>68</v>
      </c>
      <c r="D14" s="3" t="s">
        <v>69</v>
      </c>
      <c r="E14" s="3" t="s">
        <v>70</v>
      </c>
      <c r="F14" s="3">
        <v>365</v>
      </c>
    </row>
    <row r="15" spans="1:6" x14ac:dyDescent="0.25">
      <c r="A15" s="4" t="s">
        <v>71</v>
      </c>
      <c r="B15" s="5" t="s">
        <v>72</v>
      </c>
      <c r="C15" s="5" t="s">
        <v>73</v>
      </c>
      <c r="D15" s="5" t="s">
        <v>70</v>
      </c>
      <c r="E15" s="5" t="s">
        <v>74</v>
      </c>
      <c r="F15" s="5">
        <v>366</v>
      </c>
    </row>
    <row r="16" spans="1:6" x14ac:dyDescent="0.25">
      <c r="A16" s="2" t="s">
        <v>75</v>
      </c>
      <c r="B16" s="3" t="s">
        <v>76</v>
      </c>
      <c r="C16" s="3" t="s">
        <v>77</v>
      </c>
      <c r="D16" s="3" t="s">
        <v>78</v>
      </c>
      <c r="E16" s="3" t="s">
        <v>79</v>
      </c>
      <c r="F16" s="3">
        <v>365</v>
      </c>
    </row>
    <row r="17" spans="1:6" x14ac:dyDescent="0.25">
      <c r="A17" s="4" t="s">
        <v>80</v>
      </c>
      <c r="B17" s="5" t="s">
        <v>81</v>
      </c>
      <c r="C17" s="5" t="s">
        <v>82</v>
      </c>
      <c r="D17" s="5" t="s">
        <v>83</v>
      </c>
      <c r="E17" s="5" t="s">
        <v>84</v>
      </c>
      <c r="F17" s="5">
        <v>365</v>
      </c>
    </row>
    <row r="18" spans="1:6" x14ac:dyDescent="0.25">
      <c r="A18" s="2" t="s">
        <v>85</v>
      </c>
      <c r="B18" s="3" t="s">
        <v>86</v>
      </c>
      <c r="C18" s="3" t="s">
        <v>87</v>
      </c>
      <c r="D18" s="3" t="s">
        <v>88</v>
      </c>
      <c r="E18" s="3" t="s">
        <v>89</v>
      </c>
      <c r="F18" s="3">
        <v>366</v>
      </c>
    </row>
    <row r="19" spans="1:6" x14ac:dyDescent="0.25">
      <c r="A19" s="4" t="s">
        <v>90</v>
      </c>
      <c r="B19" s="5" t="s">
        <v>91</v>
      </c>
      <c r="C19" s="5" t="s">
        <v>92</v>
      </c>
      <c r="D19" s="5" t="s">
        <v>89</v>
      </c>
      <c r="E19" s="5" t="s">
        <v>93</v>
      </c>
      <c r="F19" s="5">
        <v>365</v>
      </c>
    </row>
    <row r="20" spans="1:6" x14ac:dyDescent="0.25">
      <c r="A20" s="2" t="s">
        <v>94</v>
      </c>
      <c r="B20" s="3" t="s">
        <v>95</v>
      </c>
      <c r="C20" s="3" t="s">
        <v>96</v>
      </c>
      <c r="D20" s="3" t="s">
        <v>97</v>
      </c>
      <c r="E20" s="3" t="s">
        <v>98</v>
      </c>
      <c r="F20" s="3">
        <v>365</v>
      </c>
    </row>
    <row r="29" spans="1:6" x14ac:dyDescent="0.25">
      <c r="A29" s="6" t="s">
        <v>99</v>
      </c>
      <c r="B29" s="6"/>
      <c r="C29" s="6"/>
      <c r="D29" s="6"/>
      <c r="E29" s="6"/>
      <c r="F29" s="6"/>
    </row>
    <row r="30" spans="1:2" x14ac:dyDescent="0.25">
      <c r="A30" s="7" t="s">
        <v>100</v>
      </c>
      <c r="B30" s="8" t="s">
        <v>101</v>
      </c>
    </row>
    <row r="31" spans="1:2" x14ac:dyDescent="0.25">
      <c r="A31" s="7" t="s">
        <v>102</v>
      </c>
      <c r="B31" s="8" t="s">
        <v>51</v>
      </c>
    </row>
    <row r="32" spans="1:2" x14ac:dyDescent="0.25">
      <c r="A32" s="7" t="s">
        <v>103</v>
      </c>
      <c r="B32" s="8" t="s">
        <v>104</v>
      </c>
    </row>
    <row r="33" spans="1:2" x14ac:dyDescent="0.25">
      <c r="A33" s="7" t="s">
        <v>105</v>
      </c>
      <c r="B33" s="8" t="s">
        <v>106</v>
      </c>
    </row>
    <row r="34" spans="1:2" x14ac:dyDescent="0.25">
      <c r="A34" s="7" t="s">
        <v>107</v>
      </c>
      <c r="B34" s="8" t="s">
        <v>108</v>
      </c>
    </row>
    <row r="35" spans="1:2" x14ac:dyDescent="0.25">
      <c r="A35" s="7" t="s">
        <v>109</v>
      </c>
      <c r="B35" s="8" t="s">
        <v>110</v>
      </c>
    </row>
    <row r="36" spans="1:2" x14ac:dyDescent="0.25">
      <c r="A36" s="7" t="s">
        <v>111</v>
      </c>
      <c r="B36" s="8">
        <v>1</v>
      </c>
    </row>
    <row r="37" spans="1:2" x14ac:dyDescent="0.25">
      <c r="A37" s="7" t="s">
        <v>112</v>
      </c>
      <c r="B37" s="8">
        <v>25</v>
      </c>
    </row>
    <row r="38" spans="1:2" x14ac:dyDescent="0.25">
      <c r="A38" s="7" t="s">
        <v>113</v>
      </c>
      <c r="B38" s="8">
        <v>10</v>
      </c>
    </row>
    <row r="39" spans="1:2" x14ac:dyDescent="0.25">
      <c r="A39" s="7" t="s">
        <v>114</v>
      </c>
      <c r="B39" s="8" t="s">
        <v>115</v>
      </c>
    </row>
    <row r="40" spans="1:2" x14ac:dyDescent="0.25">
      <c r="A40" s="7" t="s">
        <v>116</v>
      </c>
      <c r="B40" s="8" t="s">
        <v>117</v>
      </c>
    </row>
    <row r="54" spans="1:6" x14ac:dyDescent="0.25">
      <c r="A54" s="6" t="s">
        <v>118</v>
      </c>
      <c r="B54" s="6"/>
      <c r="C54" s="6"/>
      <c r="D54" s="6"/>
      <c r="E54" s="6"/>
      <c r="F54" s="6"/>
    </row>
    <row r="55" spans="1:4" x14ac:dyDescent="0.25">
      <c r="A55" s="9" t="s">
        <v>119</v>
      </c>
      <c r="B55" s="9" t="s">
        <v>120</v>
      </c>
      <c r="C55" s="9" t="s">
        <v>121</v>
      </c>
      <c r="D55" s="9" t="s">
        <v>122</v>
      </c>
    </row>
    <row r="56" spans="1:4" x14ac:dyDescent="0.25">
      <c r="A56" s="10" t="s">
        <v>123</v>
      </c>
      <c r="B56" s="11" t="s">
        <v>124</v>
      </c>
      <c r="C56" s="12">
        <f>'Balance Sheet'!C50-'Balance Sheet'!C80</f>
        <v>0</v>
      </c>
      <c r="D56" s="13" t="str">
        <f>IF(ABS(C56)&lt;1,"✓ OK","⚠ CHECK")</f>
        <v>✓ OK</v>
      </c>
    </row>
    <row r="57" spans="1:4" x14ac:dyDescent="0.25">
      <c r="A57" s="10" t="s">
        <v>125</v>
      </c>
      <c r="B57" s="11" t="s">
        <v>126</v>
      </c>
      <c r="C57" s="12">
        <f>'Cash Flow'!C60-'Balance Sheet'!C35</f>
        <v>0</v>
      </c>
      <c r="D57" s="13" t="str">
        <f>IF(ABS(C57)&lt;1,"✓ OK","⚠ CHECK")</f>
        <v>✓ OK</v>
      </c>
    </row>
    <row r="58" spans="1:4" x14ac:dyDescent="0.25">
      <c r="A58" s="10" t="s">
        <v>127</v>
      </c>
      <c r="B58" s="11" t="s">
        <v>128</v>
      </c>
      <c r="C58" s="12">
        <f>'Trial Balance'!C5-'Trial Balance'!D5</f>
        <v>0</v>
      </c>
      <c r="D58" s="13" t="str">
        <f>IF(ABS(C58)&lt;1,"✓ OK","⚠ CHECK")</f>
        <v>✓ OK</v>
      </c>
    </row>
    <row r="59" spans="1:4" x14ac:dyDescent="0.25">
      <c r="A59" s="10" t="s">
        <v>129</v>
      </c>
      <c r="B59" s="11" t="s">
        <v>130</v>
      </c>
      <c r="C59" s="12">
        <f>'Income Statement'!C45-'Changes in Equity'!F15</f>
        <v>0</v>
      </c>
      <c r="D59" s="13" t="str">
        <f>IF(ABS(C59)&lt;1,"✓ OK","⚠ CHECK")</f>
        <v>✓ OK</v>
      </c>
    </row>
  </sheetData>
  <mergeCells count="2">
    <mergeCell ref="A29:F29"/>
    <mergeCell ref="A54:F5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F5F9"/>
  </sheetPr>
  <dimension ref="A1:B10"/>
  <sheetFormatPr defaultRowHeight="15" outlineLevelRow="0" outlineLevelCol="0" x14ac:dyDescent="55"/>
  <cols>
    <col min="1" max="1" width="42" customWidth="1"/>
    <col min="2" max="2" width="10" customWidth="1"/>
    <col min="3" max="4" width="18" customWidth="1"/>
  </cols>
  <sheetData>
    <row r="1" spans="1:1" x14ac:dyDescent="0.25">
      <c r="A1" s="14" t="s">
        <v>131</v>
      </c>
    </row>
    <row r="3" spans="1:2" x14ac:dyDescent="0.25">
      <c r="A3" s="15" t="s">
        <v>132</v>
      </c>
      <c r="B3" s="16" t="s">
        <v>133</v>
      </c>
    </row>
    <row r="4" spans="1:2" x14ac:dyDescent="0.25">
      <c r="A4" s="15" t="s">
        <v>134</v>
      </c>
      <c r="B4" s="16" t="s">
        <v>135</v>
      </c>
    </row>
    <row r="5" spans="1:2" x14ac:dyDescent="0.25">
      <c r="A5" s="15" t="s">
        <v>136</v>
      </c>
      <c r="B5" s="16" t="s">
        <v>137</v>
      </c>
    </row>
    <row r="6" spans="1:2" x14ac:dyDescent="0.25">
      <c r="A6" s="15" t="s">
        <v>138</v>
      </c>
      <c r="B6" s="16" t="s">
        <v>139</v>
      </c>
    </row>
    <row r="7" spans="1:2" x14ac:dyDescent="0.25">
      <c r="A7" s="15" t="s">
        <v>140</v>
      </c>
      <c r="B7" s="16" t="s">
        <v>141</v>
      </c>
    </row>
    <row r="8" spans="1:2" x14ac:dyDescent="0.25">
      <c r="A8" s="15" t="s">
        <v>142</v>
      </c>
      <c r="B8" s="16" t="s">
        <v>141</v>
      </c>
    </row>
    <row r="9" spans="1:2" x14ac:dyDescent="0.25">
      <c r="A9" s="15" t="s">
        <v>143</v>
      </c>
      <c r="B9" s="16" t="s">
        <v>144</v>
      </c>
    </row>
    <row r="10" spans="1:2" x14ac:dyDescent="0.25">
      <c r="A10" s="15" t="s">
        <v>145</v>
      </c>
      <c r="B10" s="16" t="s">
        <v>146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6EFAC"/>
  </sheetPr>
  <dimension ref="A2:B11"/>
  <sheetFormatPr defaultRowHeight="15" outlineLevelRow="0" outlineLevelCol="0" x14ac:dyDescent="55"/>
  <cols>
    <col min="1" max="1" width="42" customWidth="1"/>
    <col min="2" max="2" width="10" customWidth="1"/>
    <col min="3" max="4" width="18" customWidth="1"/>
  </cols>
  <sheetData>
    <row r="2" spans="1:2" x14ac:dyDescent="0.25">
      <c r="A2" s="15" t="s">
        <v>100</v>
      </c>
      <c r="B2" s="17" t="s">
        <v>101</v>
      </c>
    </row>
    <row r="3" spans="1:2" x14ac:dyDescent="0.25">
      <c r="A3" s="15" t="s">
        <v>147</v>
      </c>
      <c r="B3" s="17" t="s">
        <v>115</v>
      </c>
    </row>
    <row r="4" spans="1:2" x14ac:dyDescent="0.25">
      <c r="A4" s="15" t="s">
        <v>116</v>
      </c>
      <c r="B4" s="17" t="s">
        <v>117</v>
      </c>
    </row>
    <row r="5" spans="1:2" x14ac:dyDescent="0.25">
      <c r="A5" s="15" t="s">
        <v>148</v>
      </c>
      <c r="B5" s="17" t="s">
        <v>149</v>
      </c>
    </row>
    <row r="6" spans="1:2" x14ac:dyDescent="0.25">
      <c r="A6" s="15" t="s">
        <v>102</v>
      </c>
      <c r="B6" s="17" t="s">
        <v>51</v>
      </c>
    </row>
    <row r="7" spans="1:2" x14ac:dyDescent="0.25">
      <c r="A7" s="15" t="s">
        <v>150</v>
      </c>
      <c r="B7" s="17" t="s">
        <v>151</v>
      </c>
    </row>
    <row r="8" spans="1:2" x14ac:dyDescent="0.25">
      <c r="A8" s="15" t="s">
        <v>152</v>
      </c>
      <c r="B8" s="17" t="s">
        <v>151</v>
      </c>
    </row>
    <row r="9" spans="1:2" x14ac:dyDescent="0.25">
      <c r="A9" s="15" t="s">
        <v>153</v>
      </c>
      <c r="B9" s="17" t="s">
        <v>151</v>
      </c>
    </row>
    <row r="10" spans="1:2" x14ac:dyDescent="0.25">
      <c r="A10" s="15" t="s">
        <v>154</v>
      </c>
      <c r="B10" s="17" t="s">
        <v>155</v>
      </c>
    </row>
    <row r="11" spans="1:2" x14ac:dyDescent="0.25">
      <c r="A11" s="15" t="s">
        <v>156</v>
      </c>
      <c r="B11" s="17" t="s">
        <v>157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0AF"/>
  </sheetPr>
  <dimension ref="A1:L31"/>
  <sheetFormatPr defaultRowHeight="15" outlineLevelRow="0" outlineLevelCol="0" x14ac:dyDescent="55"/>
  <cols>
    <col min="1" max="1" width="40" customWidth="1"/>
    <col min="2" max="2" width="28" customWidth="1"/>
    <col min="3" max="3" width="8" customWidth="1"/>
    <col min="4" max="11" width="14" customWidth="1"/>
    <col min="12" max="12" width="16" customWidth="1"/>
  </cols>
  <sheetData>
    <row r="1" spans="1:12" x14ac:dyDescent="0.25">
      <c r="A1" s="18" t="s">
        <v>158</v>
      </c>
      <c r="B1" s="18" t="s">
        <v>159</v>
      </c>
      <c r="C1" s="18" t="s">
        <v>160</v>
      </c>
      <c r="D1" s="18" t="s">
        <v>161</v>
      </c>
      <c r="E1" s="18" t="s">
        <v>162</v>
      </c>
      <c r="F1" s="18" t="s">
        <v>163</v>
      </c>
      <c r="G1" s="18" t="s">
        <v>164</v>
      </c>
      <c r="H1" s="18" t="s">
        <v>165</v>
      </c>
      <c r="I1" s="18" t="s">
        <v>166</v>
      </c>
      <c r="J1" s="18" t="s">
        <v>167</v>
      </c>
      <c r="K1" s="18" t="s">
        <v>168</v>
      </c>
      <c r="L1" s="18" t="s">
        <v>169</v>
      </c>
    </row>
    <row r="2" ht="14" customHeight="1" spans="1:12" x14ac:dyDescent="0.25">
      <c r="A2" s="19" t="s">
        <v>170</v>
      </c>
      <c r="B2" s="19" t="s">
        <v>171</v>
      </c>
      <c r="C2" s="19" t="s">
        <v>170</v>
      </c>
      <c r="D2" s="20"/>
      <c r="E2" s="20"/>
      <c r="F2" s="20">
        <v>50000</v>
      </c>
      <c r="G2" s="20"/>
      <c r="H2" s="20"/>
      <c r="I2" s="20"/>
      <c r="J2" s="20">
        <v>50000</v>
      </c>
      <c r="K2" s="20"/>
      <c r="L2" s="20">
        <v>50000</v>
      </c>
    </row>
    <row r="3" ht="14" customHeight="1" spans="1:12" x14ac:dyDescent="0.25">
      <c r="A3" s="19" t="s">
        <v>172</v>
      </c>
      <c r="B3" s="19" t="s">
        <v>173</v>
      </c>
      <c r="C3" s="19" t="s">
        <v>174</v>
      </c>
      <c r="D3" s="20"/>
      <c r="E3" s="20"/>
      <c r="F3" s="20">
        <v>250000</v>
      </c>
      <c r="G3" s="20"/>
      <c r="H3" s="20"/>
      <c r="I3" s="20"/>
      <c r="J3" s="20">
        <v>250000</v>
      </c>
      <c r="K3" s="20"/>
      <c r="L3" s="20">
        <v>250000</v>
      </c>
    </row>
    <row r="4" ht="14" customHeight="1" spans="1:12" x14ac:dyDescent="0.25">
      <c r="A4" s="19" t="s">
        <v>175</v>
      </c>
      <c r="B4" s="19" t="s">
        <v>176</v>
      </c>
      <c r="C4" s="19" t="s">
        <v>177</v>
      </c>
      <c r="D4" s="20"/>
      <c r="E4" s="20"/>
      <c r="F4" s="20">
        <v>500000</v>
      </c>
      <c r="G4" s="20"/>
      <c r="H4" s="20"/>
      <c r="I4" s="20"/>
      <c r="J4" s="20">
        <v>500000</v>
      </c>
      <c r="K4" s="20"/>
      <c r="L4" s="20">
        <v>500000</v>
      </c>
    </row>
    <row r="5" ht="14" customHeight="1" spans="1:12" x14ac:dyDescent="0.25">
      <c r="A5" s="19" t="s">
        <v>178</v>
      </c>
      <c r="B5" s="19" t="s">
        <v>179</v>
      </c>
      <c r="C5" s="19" t="s">
        <v>180</v>
      </c>
      <c r="D5" s="20"/>
      <c r="E5" s="20"/>
      <c r="F5" s="20">
        <v>180000</v>
      </c>
      <c r="G5" s="20"/>
      <c r="H5" s="20"/>
      <c r="I5" s="20"/>
      <c r="J5" s="20">
        <v>180000</v>
      </c>
      <c r="K5" s="20"/>
      <c r="L5" s="20">
        <v>180000</v>
      </c>
    </row>
    <row r="6" ht="14" customHeight="1" spans="1:12" x14ac:dyDescent="0.25">
      <c r="A6" s="19" t="s">
        <v>181</v>
      </c>
      <c r="B6" s="19" t="s">
        <v>179</v>
      </c>
      <c r="C6" s="19" t="s">
        <v>180</v>
      </c>
      <c r="D6" s="20"/>
      <c r="E6" s="20"/>
      <c r="F6" s="20">
        <v>95000</v>
      </c>
      <c r="G6" s="20"/>
      <c r="H6" s="20"/>
      <c r="I6" s="20"/>
      <c r="J6" s="20">
        <v>95000</v>
      </c>
      <c r="K6" s="20"/>
      <c r="L6" s="20">
        <v>95000</v>
      </c>
    </row>
    <row r="7" ht="14" customHeight="1" spans="1:12" x14ac:dyDescent="0.25">
      <c r="A7" s="19" t="s">
        <v>182</v>
      </c>
      <c r="B7" s="19" t="s">
        <v>183</v>
      </c>
      <c r="C7" s="19" t="s">
        <v>182</v>
      </c>
      <c r="D7" s="20"/>
      <c r="E7" s="20"/>
      <c r="F7" s="20">
        <v>45000</v>
      </c>
      <c r="G7" s="20"/>
      <c r="H7" s="20"/>
      <c r="I7" s="20"/>
      <c r="J7" s="20">
        <v>45000</v>
      </c>
      <c r="K7" s="20"/>
      <c r="L7" s="20">
        <v>45000</v>
      </c>
    </row>
    <row r="8" ht="14" customHeight="1" spans="1:12" x14ac:dyDescent="0.25">
      <c r="A8" s="19" t="s">
        <v>184</v>
      </c>
      <c r="B8" s="19" t="s">
        <v>185</v>
      </c>
      <c r="C8" s="19" t="s">
        <v>186</v>
      </c>
      <c r="D8" s="20"/>
      <c r="E8" s="20"/>
      <c r="F8" s="20">
        <v>320000</v>
      </c>
      <c r="G8" s="20"/>
      <c r="H8" s="20"/>
      <c r="I8" s="20"/>
      <c r="J8" s="20">
        <v>320000</v>
      </c>
      <c r="K8" s="20"/>
      <c r="L8" s="20">
        <v>320000</v>
      </c>
    </row>
    <row r="9" ht="14" customHeight="1" spans="1:12" x14ac:dyDescent="0.25">
      <c r="A9" s="19" t="s">
        <v>187</v>
      </c>
      <c r="B9" s="19" t="s">
        <v>188</v>
      </c>
      <c r="C9" s="19" t="s">
        <v>189</v>
      </c>
      <c r="D9" s="20"/>
      <c r="E9" s="20"/>
      <c r="F9" s="20">
        <v>2500000</v>
      </c>
      <c r="G9" s="20"/>
      <c r="H9" s="20"/>
      <c r="I9" s="20"/>
      <c r="J9" s="20">
        <v>2500000</v>
      </c>
      <c r="K9" s="20"/>
      <c r="L9" s="20">
        <v>2500000</v>
      </c>
    </row>
    <row r="10" ht="14" customHeight="1" spans="1:12" x14ac:dyDescent="0.25">
      <c r="A10" s="19" t="s">
        <v>190</v>
      </c>
      <c r="B10" s="19" t="s">
        <v>191</v>
      </c>
      <c r="C10" s="19" t="s">
        <v>192</v>
      </c>
      <c r="D10" s="20"/>
      <c r="E10" s="20"/>
      <c r="F10" s="20">
        <v>1200000</v>
      </c>
      <c r="G10" s="20"/>
      <c r="H10" s="20"/>
      <c r="I10" s="20"/>
      <c r="J10" s="20">
        <v>1200000</v>
      </c>
      <c r="K10" s="20"/>
      <c r="L10" s="20">
        <v>1200000</v>
      </c>
    </row>
    <row r="11" ht="14" customHeight="1" spans="1:12" x14ac:dyDescent="0.25">
      <c r="A11" s="19" t="s">
        <v>193</v>
      </c>
      <c r="B11" s="19" t="s">
        <v>194</v>
      </c>
      <c r="C11" s="19" t="s">
        <v>193</v>
      </c>
      <c r="D11" s="20"/>
      <c r="E11" s="20"/>
      <c r="F11" s="20"/>
      <c r="G11" s="20">
        <v>500000</v>
      </c>
      <c r="H11" s="20"/>
      <c r="I11" s="20"/>
      <c r="J11" s="20"/>
      <c r="K11" s="20">
        <v>500000</v>
      </c>
      <c r="L11" s="20">
        <v>-500000</v>
      </c>
    </row>
    <row r="12" ht="14" customHeight="1" spans="1:12" x14ac:dyDescent="0.25">
      <c r="A12" s="19" t="s">
        <v>195</v>
      </c>
      <c r="B12" s="19" t="s">
        <v>196</v>
      </c>
      <c r="C12" s="19" t="s">
        <v>195</v>
      </c>
      <c r="D12" s="20"/>
      <c r="E12" s="20"/>
      <c r="F12" s="20">
        <v>15000</v>
      </c>
      <c r="G12" s="20"/>
      <c r="H12" s="20"/>
      <c r="I12" s="20"/>
      <c r="J12" s="20">
        <v>15000</v>
      </c>
      <c r="K12" s="20"/>
      <c r="L12" s="20">
        <v>15000</v>
      </c>
    </row>
    <row r="13" ht="14" customHeight="1" spans="1:12" x14ac:dyDescent="0.25">
      <c r="A13" s="19" t="s">
        <v>197</v>
      </c>
      <c r="B13" s="19" t="s">
        <v>198</v>
      </c>
      <c r="C13" s="19" t="s">
        <v>199</v>
      </c>
      <c r="D13" s="20"/>
      <c r="E13" s="20"/>
      <c r="F13" s="20"/>
      <c r="G13" s="20">
        <v>140000</v>
      </c>
      <c r="H13" s="20"/>
      <c r="I13" s="20"/>
      <c r="J13" s="20"/>
      <c r="K13" s="20">
        <v>140000</v>
      </c>
      <c r="L13" s="20">
        <v>-140000</v>
      </c>
    </row>
    <row r="14" ht="14" customHeight="1" spans="1:12" x14ac:dyDescent="0.25">
      <c r="A14" s="19" t="s">
        <v>200</v>
      </c>
      <c r="B14" s="19" t="s">
        <v>198</v>
      </c>
      <c r="C14" s="19" t="s">
        <v>199</v>
      </c>
      <c r="D14" s="20"/>
      <c r="E14" s="20"/>
      <c r="F14" s="20"/>
      <c r="G14" s="20">
        <v>75000</v>
      </c>
      <c r="H14" s="20"/>
      <c r="I14" s="20"/>
      <c r="J14" s="20"/>
      <c r="K14" s="20">
        <v>75000</v>
      </c>
      <c r="L14" s="20">
        <v>-75000</v>
      </c>
    </row>
    <row r="15" ht="14" customHeight="1" spans="1:12" x14ac:dyDescent="0.25">
      <c r="A15" s="19" t="s">
        <v>201</v>
      </c>
      <c r="B15" s="19" t="s">
        <v>202</v>
      </c>
      <c r="C15" s="19" t="s">
        <v>201</v>
      </c>
      <c r="D15" s="20"/>
      <c r="E15" s="20"/>
      <c r="F15" s="20"/>
      <c r="G15" s="20">
        <v>35000</v>
      </c>
      <c r="H15" s="20"/>
      <c r="I15" s="20"/>
      <c r="J15" s="20"/>
      <c r="K15" s="20">
        <v>35000</v>
      </c>
      <c r="L15" s="20">
        <v>-35000</v>
      </c>
    </row>
    <row r="16" ht="14" customHeight="1" spans="1:12" x14ac:dyDescent="0.25">
      <c r="A16" s="19" t="s">
        <v>203</v>
      </c>
      <c r="B16" s="19" t="s">
        <v>204</v>
      </c>
      <c r="C16" s="19" t="s">
        <v>203</v>
      </c>
      <c r="D16" s="20"/>
      <c r="E16" s="20"/>
      <c r="F16" s="20"/>
      <c r="G16" s="20">
        <v>8500</v>
      </c>
      <c r="H16" s="20"/>
      <c r="I16" s="20"/>
      <c r="J16" s="20"/>
      <c r="K16" s="20">
        <v>8500</v>
      </c>
      <c r="L16" s="20">
        <v>-8500</v>
      </c>
    </row>
    <row r="17" ht="14" customHeight="1" spans="1:12" x14ac:dyDescent="0.25">
      <c r="A17" s="19" t="s">
        <v>205</v>
      </c>
      <c r="B17" s="19" t="s">
        <v>206</v>
      </c>
      <c r="C17" s="19" t="s">
        <v>207</v>
      </c>
      <c r="D17" s="20"/>
      <c r="E17" s="20"/>
      <c r="F17" s="20"/>
      <c r="G17" s="20">
        <v>800000</v>
      </c>
      <c r="H17" s="20"/>
      <c r="I17" s="20"/>
      <c r="J17" s="20"/>
      <c r="K17" s="20">
        <v>800000</v>
      </c>
      <c r="L17" s="20">
        <v>-800000</v>
      </c>
    </row>
    <row r="18" ht="14" customHeight="1" spans="1:12" x14ac:dyDescent="0.25">
      <c r="A18" s="19" t="s">
        <v>208</v>
      </c>
      <c r="B18" s="19" t="s">
        <v>209</v>
      </c>
      <c r="C18" s="19" t="s">
        <v>208</v>
      </c>
      <c r="D18" s="20"/>
      <c r="E18" s="20"/>
      <c r="F18" s="20"/>
      <c r="G18" s="20">
        <v>2000000</v>
      </c>
      <c r="H18" s="20"/>
      <c r="I18" s="20"/>
      <c r="J18" s="20"/>
      <c r="K18" s="20">
        <v>2000000</v>
      </c>
      <c r="L18" s="20">
        <v>-2000000</v>
      </c>
    </row>
    <row r="19" ht="14" customHeight="1" spans="1:12" x14ac:dyDescent="0.25">
      <c r="A19" s="19" t="s">
        <v>210</v>
      </c>
      <c r="B19" s="19" t="s">
        <v>211</v>
      </c>
      <c r="C19" s="19" t="s">
        <v>210</v>
      </c>
      <c r="D19" s="20"/>
      <c r="E19" s="20"/>
      <c r="F19" s="20"/>
      <c r="G19" s="20">
        <v>500000</v>
      </c>
      <c r="H19" s="20"/>
      <c r="I19" s="20"/>
      <c r="J19" s="20"/>
      <c r="K19" s="20">
        <v>500000</v>
      </c>
      <c r="L19" s="20">
        <v>-500000</v>
      </c>
    </row>
    <row r="20" ht="14" customHeight="1" spans="1:12" x14ac:dyDescent="0.25">
      <c r="A20" s="19" t="s">
        <v>212</v>
      </c>
      <c r="B20" s="19" t="s">
        <v>213</v>
      </c>
      <c r="C20" s="19" t="s">
        <v>212</v>
      </c>
      <c r="D20" s="20"/>
      <c r="E20" s="20"/>
      <c r="F20" s="20"/>
      <c r="G20" s="20">
        <v>200000</v>
      </c>
      <c r="H20" s="20"/>
      <c r="I20" s="20"/>
      <c r="J20" s="20"/>
      <c r="K20" s="20">
        <v>200000</v>
      </c>
      <c r="L20" s="20">
        <v>-200000</v>
      </c>
    </row>
    <row r="21" ht="14" customHeight="1" spans="1:12" x14ac:dyDescent="0.25">
      <c r="A21" s="19" t="s">
        <v>214</v>
      </c>
      <c r="B21" s="19" t="s">
        <v>215</v>
      </c>
      <c r="C21" s="19" t="s">
        <v>214</v>
      </c>
      <c r="D21" s="20"/>
      <c r="E21" s="20"/>
      <c r="F21" s="20"/>
      <c r="G21" s="20">
        <v>3500000</v>
      </c>
      <c r="H21" s="20"/>
      <c r="I21" s="20"/>
      <c r="J21" s="20"/>
      <c r="K21" s="20">
        <v>3500000</v>
      </c>
      <c r="L21" s="20">
        <v>-3500000</v>
      </c>
    </row>
    <row r="22" ht="14" customHeight="1" spans="1:12" x14ac:dyDescent="0.25">
      <c r="A22" s="19" t="s">
        <v>216</v>
      </c>
      <c r="B22" s="19" t="s">
        <v>185</v>
      </c>
      <c r="C22" s="19" t="s">
        <v>186</v>
      </c>
      <c r="D22" s="20"/>
      <c r="E22" s="20"/>
      <c r="F22" s="20"/>
      <c r="G22" s="20">
        <v>320000</v>
      </c>
      <c r="H22" s="20"/>
      <c r="I22" s="20"/>
      <c r="J22" s="20"/>
      <c r="K22" s="20">
        <v>320000</v>
      </c>
      <c r="L22" s="20">
        <v>-320000</v>
      </c>
    </row>
    <row r="23" ht="14" customHeight="1" spans="1:12" x14ac:dyDescent="0.25">
      <c r="A23" s="19" t="s">
        <v>217</v>
      </c>
      <c r="B23" s="19" t="s">
        <v>218</v>
      </c>
      <c r="C23" s="19" t="s">
        <v>219</v>
      </c>
      <c r="D23" s="20"/>
      <c r="E23" s="20"/>
      <c r="F23" s="20">
        <v>2100000</v>
      </c>
      <c r="G23" s="20"/>
      <c r="H23" s="20"/>
      <c r="I23" s="20"/>
      <c r="J23" s="20">
        <v>2100000</v>
      </c>
      <c r="K23" s="20"/>
      <c r="L23" s="20">
        <v>2100000</v>
      </c>
    </row>
    <row r="24" ht="14" customHeight="1" spans="1:12" x14ac:dyDescent="0.25">
      <c r="A24" s="19" t="s">
        <v>220</v>
      </c>
      <c r="B24" s="19" t="s">
        <v>221</v>
      </c>
      <c r="C24" s="19" t="s">
        <v>222</v>
      </c>
      <c r="D24" s="20"/>
      <c r="E24" s="20"/>
      <c r="F24" s="20">
        <v>280000</v>
      </c>
      <c r="G24" s="20"/>
      <c r="H24" s="20"/>
      <c r="I24" s="20"/>
      <c r="J24" s="20">
        <v>280000</v>
      </c>
      <c r="K24" s="20"/>
      <c r="L24" s="20">
        <v>280000</v>
      </c>
    </row>
    <row r="25" ht="14" customHeight="1" spans="1:12" x14ac:dyDescent="0.25">
      <c r="A25" s="19" t="s">
        <v>223</v>
      </c>
      <c r="B25" s="19" t="s">
        <v>224</v>
      </c>
      <c r="C25" s="19" t="s">
        <v>225</v>
      </c>
      <c r="D25" s="20"/>
      <c r="E25" s="20"/>
      <c r="F25" s="20">
        <v>25200</v>
      </c>
      <c r="G25" s="20"/>
      <c r="H25" s="20"/>
      <c r="I25" s="20"/>
      <c r="J25" s="20">
        <v>25200</v>
      </c>
      <c r="K25" s="20"/>
      <c r="L25" s="20">
        <v>25200</v>
      </c>
    </row>
    <row r="26" ht="14" customHeight="1" spans="1:12" x14ac:dyDescent="0.25">
      <c r="A26" s="19" t="s">
        <v>226</v>
      </c>
      <c r="B26" s="19" t="s">
        <v>227</v>
      </c>
      <c r="C26" s="19" t="s">
        <v>226</v>
      </c>
      <c r="D26" s="20"/>
      <c r="E26" s="20"/>
      <c r="F26" s="20">
        <v>120000</v>
      </c>
      <c r="G26" s="20"/>
      <c r="H26" s="20"/>
      <c r="I26" s="20"/>
      <c r="J26" s="20">
        <v>120000</v>
      </c>
      <c r="K26" s="20"/>
      <c r="L26" s="20">
        <v>120000</v>
      </c>
    </row>
    <row r="27" ht="14" customHeight="1" spans="1:12" x14ac:dyDescent="0.25">
      <c r="A27" s="19" t="s">
        <v>228</v>
      </c>
      <c r="B27" s="19" t="s">
        <v>229</v>
      </c>
      <c r="C27" s="19" t="s">
        <v>230</v>
      </c>
      <c r="D27" s="20"/>
      <c r="E27" s="20"/>
      <c r="F27" s="20">
        <v>18000</v>
      </c>
      <c r="G27" s="20"/>
      <c r="H27" s="20"/>
      <c r="I27" s="20"/>
      <c r="J27" s="20">
        <v>18000</v>
      </c>
      <c r="K27" s="20"/>
      <c r="L27" s="20">
        <v>18000</v>
      </c>
    </row>
    <row r="28" ht="14" customHeight="1" spans="1:12" x14ac:dyDescent="0.25">
      <c r="A28" s="19" t="s">
        <v>231</v>
      </c>
      <c r="B28" s="19" t="s">
        <v>232</v>
      </c>
      <c r="C28" s="19" t="s">
        <v>233</v>
      </c>
      <c r="D28" s="20"/>
      <c r="E28" s="20"/>
      <c r="F28" s="20">
        <v>72000</v>
      </c>
      <c r="G28" s="20"/>
      <c r="H28" s="20"/>
      <c r="I28" s="20"/>
      <c r="J28" s="20">
        <v>72000</v>
      </c>
      <c r="K28" s="20"/>
      <c r="L28" s="20">
        <v>72000</v>
      </c>
    </row>
    <row r="29" ht="14" customHeight="1" spans="1:12" x14ac:dyDescent="0.25">
      <c r="A29" s="19" t="s">
        <v>234</v>
      </c>
      <c r="B29" s="19" t="s">
        <v>235</v>
      </c>
      <c r="C29" s="19" t="s">
        <v>234</v>
      </c>
      <c r="D29" s="20"/>
      <c r="E29" s="20"/>
      <c r="F29" s="20">
        <v>35000</v>
      </c>
      <c r="G29" s="20"/>
      <c r="H29" s="20"/>
      <c r="I29" s="20"/>
      <c r="J29" s="20">
        <v>35000</v>
      </c>
      <c r="K29" s="20"/>
      <c r="L29" s="20">
        <v>35000</v>
      </c>
    </row>
    <row r="30" ht="14" customHeight="1" spans="1:12" x14ac:dyDescent="0.25">
      <c r="A30" s="19" t="s">
        <v>236</v>
      </c>
      <c r="B30" s="19" t="s">
        <v>237</v>
      </c>
      <c r="C30" s="19" t="s">
        <v>238</v>
      </c>
      <c r="D30" s="20"/>
      <c r="E30" s="20"/>
      <c r="F30" s="20">
        <v>409300</v>
      </c>
      <c r="G30" s="20"/>
      <c r="H30" s="20"/>
      <c r="I30" s="20"/>
      <c r="J30" s="20">
        <v>409300</v>
      </c>
      <c r="K30" s="20"/>
      <c r="L30" s="20">
        <v>409300</v>
      </c>
    </row>
    <row r="31" ht="14" customHeight="1" spans="1:12" x14ac:dyDescent="0.25">
      <c r="A31" s="19" t="s">
        <v>239</v>
      </c>
      <c r="B31" s="19" t="s">
        <v>240</v>
      </c>
      <c r="C31" s="19" t="s">
        <v>239</v>
      </c>
      <c r="D31" s="20"/>
      <c r="E31" s="20"/>
      <c r="F31" s="20"/>
      <c r="G31" s="20">
        <v>136000</v>
      </c>
      <c r="H31" s="20"/>
      <c r="I31" s="20"/>
      <c r="J31" s="20"/>
      <c r="K31" s="20">
        <v>136000</v>
      </c>
      <c r="L31" s="20">
        <v>-136000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0AF"/>
    <pageSetUpPr fitToPage="1"/>
  </sheetPr>
  <dimension ref="A1:F55"/>
  <sheetViews>
    <sheetView workbookViewId="0">
      <pane ySplit="5" topLeftCell="A6" activePane="bottomLeft" state="frozen"/>
      <selection pane="bottomLeft"/>
    </sheetView>
  </sheetViews>
  <sheetFormatPr defaultRowHeight="15" outlineLevelRow="0" outlineLevelCol="0" x14ac:dyDescent="55"/>
  <cols>
    <col min="1" max="1" width="42" customWidth="1"/>
    <col min="2" max="2" width="8" customWidth="1"/>
    <col min="3" max="4" width="18" customWidth="1"/>
  </cols>
  <sheetData>
    <row r="1" ht="26" customHeight="1" spans="1:6" x14ac:dyDescent="0.25">
      <c r="A1" s="21" t="s">
        <v>241</v>
      </c>
      <c r="B1" s="21"/>
      <c r="C1" s="21"/>
      <c r="D1" s="21"/>
      <c r="E1" s="21"/>
      <c r="F1" s="21"/>
    </row>
    <row r="2" ht="20" customHeight="1" spans="1:6" x14ac:dyDescent="0.25">
      <c r="A2" s="22" t="s">
        <v>242</v>
      </c>
      <c r="B2" s="22"/>
      <c r="C2" s="22"/>
      <c r="D2" s="22"/>
      <c r="E2" s="22"/>
      <c r="F2" s="22"/>
    </row>
    <row r="3" ht="16" customHeight="1" spans="1:6" x14ac:dyDescent="0.25">
      <c r="A3" s="23" t="s">
        <v>243</v>
      </c>
      <c r="B3" s="23"/>
      <c r="C3" s="23"/>
      <c r="D3" s="23"/>
      <c r="E3" s="23"/>
      <c r="F3" s="23"/>
    </row>
    <row r="4" ht="14" customHeight="1" spans="1:6" x14ac:dyDescent="0.25">
      <c r="A4" s="24" t="s">
        <v>244</v>
      </c>
      <c r="B4" s="24"/>
      <c r="C4" s="24"/>
      <c r="D4" s="24"/>
      <c r="E4" s="24"/>
      <c r="F4" s="24"/>
    </row>
    <row r="5" ht="18" customHeight="1" spans="1:4" x14ac:dyDescent="0.25">
      <c r="A5" s="25" t="s">
        <v>245</v>
      </c>
      <c r="B5" s="26" t="s">
        <v>160</v>
      </c>
      <c r="C5" s="26" t="s">
        <v>246</v>
      </c>
      <c r="D5" s="26" t="s">
        <v>48</v>
      </c>
    </row>
    <row r="6" ht="18" customHeight="1" spans="1:4" x14ac:dyDescent="0.25">
      <c r="A6" s="27" t="s">
        <v>247</v>
      </c>
      <c r="B6" s="27"/>
      <c r="C6" s="27"/>
      <c r="D6" s="27"/>
    </row>
    <row r="7" ht="15" customHeight="1" spans="1:4" x14ac:dyDescent="0.25">
      <c r="A7" s="19" t="s">
        <v>248</v>
      </c>
      <c r="B7" s="28" t="s">
        <v>249</v>
      </c>
      <c r="C7" s="20">
        <v>3050000</v>
      </c>
      <c r="D7" s="20"/>
    </row>
    <row r="8" ht="15" customHeight="1" spans="1:4" x14ac:dyDescent="0.25">
      <c r="A8" s="19" t="s">
        <v>250</v>
      </c>
      <c r="B8" s="28" t="s">
        <v>251</v>
      </c>
      <c r="C8" s="20"/>
      <c r="D8" s="20"/>
    </row>
    <row r="9" ht="15" customHeight="1" spans="1:4" x14ac:dyDescent="0.25">
      <c r="A9" s="19" t="s">
        <v>252</v>
      </c>
      <c r="B9" s="28" t="s">
        <v>253</v>
      </c>
      <c r="C9" s="20"/>
      <c r="D9" s="20"/>
    </row>
    <row r="10" ht="15" customHeight="1" spans="1:4" x14ac:dyDescent="0.25">
      <c r="A10" s="19" t="s">
        <v>254</v>
      </c>
      <c r="B10" s="28" t="s">
        <v>255</v>
      </c>
      <c r="C10" s="20"/>
      <c r="D10" s="20"/>
    </row>
    <row r="11" ht="15" customHeight="1" spans="1:4" x14ac:dyDescent="0.25">
      <c r="A11" s="29" t="s">
        <v>256</v>
      </c>
      <c r="B11" s="29"/>
      <c r="C11" s="30">
        <v>3050000</v>
      </c>
      <c r="D11" s="30"/>
    </row>
    <row r="12" ht="18" customHeight="1" spans="1:4" x14ac:dyDescent="0.25">
      <c r="A12" s="27" t="s">
        <v>257</v>
      </c>
      <c r="B12" s="27"/>
      <c r="C12" s="27"/>
      <c r="D12" s="27"/>
    </row>
    <row r="13" ht="15" customHeight="1" spans="1:4" x14ac:dyDescent="0.25">
      <c r="A13" s="19" t="s">
        <v>258</v>
      </c>
      <c r="B13" s="28" t="s">
        <v>251</v>
      </c>
      <c r="C13" s="20"/>
      <c r="D13" s="20"/>
    </row>
    <row r="14" ht="15" customHeight="1" spans="1:4" x14ac:dyDescent="0.25">
      <c r="A14" s="19" t="s">
        <v>259</v>
      </c>
      <c r="B14" s="28" t="s">
        <v>260</v>
      </c>
      <c r="C14" s="20">
        <v>320000</v>
      </c>
      <c r="D14" s="20"/>
    </row>
    <row r="15" ht="15" customHeight="1" spans="1:4" x14ac:dyDescent="0.25">
      <c r="A15" s="19" t="s">
        <v>261</v>
      </c>
      <c r="B15" s="28" t="s">
        <v>262</v>
      </c>
      <c r="C15" s="20">
        <v>335000</v>
      </c>
      <c r="D15" s="20"/>
    </row>
    <row r="16" ht="15" customHeight="1" spans="1:4" x14ac:dyDescent="0.25">
      <c r="A16" s="19" t="s">
        <v>263</v>
      </c>
      <c r="B16" s="28" t="s">
        <v>264</v>
      </c>
      <c r="C16" s="20">
        <v>800000</v>
      </c>
      <c r="D16" s="20"/>
    </row>
    <row r="17" ht="15" customHeight="1" spans="1:4" x14ac:dyDescent="0.25">
      <c r="A17" s="19" t="s">
        <v>265</v>
      </c>
      <c r="B17" s="28" t="s">
        <v>266</v>
      </c>
      <c r="C17" s="20"/>
      <c r="D17" s="20"/>
    </row>
    <row r="18" ht="15" customHeight="1" spans="1:4" x14ac:dyDescent="0.25">
      <c r="A18" s="29" t="s">
        <v>267</v>
      </c>
      <c r="B18" s="29"/>
      <c r="C18" s="30">
        <v>1455000</v>
      </c>
      <c r="D18" s="30"/>
    </row>
    <row r="19" ht="15" customHeight="1" spans="1:4" x14ac:dyDescent="0.25">
      <c r="A19" s="31" t="s">
        <v>268</v>
      </c>
      <c r="B19" s="31"/>
      <c r="C19" s="32">
        <v>4505000</v>
      </c>
      <c r="D19" s="32"/>
    </row>
    <row r="20" ht="18" customHeight="1" spans="1:4" x14ac:dyDescent="0.25">
      <c r="A20" s="33">
        <f>SUM(C5:C19)</f>
        <v>0</v>
      </c>
      <c r="B20" s="33"/>
      <c r="C20" s="33"/>
      <c r="D20" s="33"/>
    </row>
    <row r="21" ht="15" customHeight="1" spans="1:4" x14ac:dyDescent="0.25">
      <c r="A21" s="19" t="s">
        <v>269</v>
      </c>
      <c r="B21" s="28" t="s">
        <v>270</v>
      </c>
      <c r="C21" s="20">
        <v>2000000</v>
      </c>
      <c r="D21" s="20"/>
    </row>
    <row r="22" ht="15" customHeight="1" spans="1:4" x14ac:dyDescent="0.25">
      <c r="A22" s="19" t="s">
        <v>271</v>
      </c>
      <c r="B22" s="28" t="s">
        <v>272</v>
      </c>
      <c r="C22" s="20">
        <v>500000</v>
      </c>
      <c r="D22" s="20"/>
    </row>
    <row r="23" ht="15" customHeight="1" spans="1:4" x14ac:dyDescent="0.25">
      <c r="A23" s="19" t="s">
        <v>273</v>
      </c>
      <c r="B23" s="19"/>
      <c r="C23" s="20">
        <v>749450</v>
      </c>
      <c r="D23" s="20"/>
    </row>
    <row r="24" ht="15" customHeight="1" spans="1:4" x14ac:dyDescent="0.25">
      <c r="A24" s="29" t="s">
        <v>274</v>
      </c>
      <c r="B24" s="29"/>
      <c r="C24" s="30">
        <v>3249450</v>
      </c>
      <c r="D24" s="30"/>
    </row>
    <row r="25" ht="18" customHeight="1" spans="1:4" x14ac:dyDescent="0.25">
      <c r="A25" s="27" t="s">
        <v>275</v>
      </c>
      <c r="B25" s="27"/>
      <c r="C25" s="27"/>
      <c r="D25" s="27"/>
    </row>
    <row r="26" ht="15" customHeight="1" spans="1:4" x14ac:dyDescent="0.25">
      <c r="A26" s="19" t="s">
        <v>276</v>
      </c>
      <c r="B26" s="28" t="s">
        <v>277</v>
      </c>
      <c r="C26" s="20">
        <v>800000</v>
      </c>
      <c r="D26" s="20"/>
    </row>
    <row r="27" ht="15" customHeight="1" spans="1:4" x14ac:dyDescent="0.25">
      <c r="A27" s="19" t="s">
        <v>278</v>
      </c>
      <c r="B27" s="28" t="s">
        <v>279</v>
      </c>
      <c r="C27" s="20"/>
      <c r="D27" s="20"/>
    </row>
    <row r="28" ht="15" customHeight="1" spans="1:4" x14ac:dyDescent="0.25">
      <c r="A28" s="19" t="s">
        <v>280</v>
      </c>
      <c r="B28" s="19"/>
      <c r="C28" s="20"/>
      <c r="D28" s="20"/>
    </row>
    <row r="29" ht="15" customHeight="1" spans="1:4" x14ac:dyDescent="0.25">
      <c r="A29" s="29" t="s">
        <v>281</v>
      </c>
      <c r="B29" s="29"/>
      <c r="C29" s="30">
        <v>800000</v>
      </c>
      <c r="D29" s="30"/>
    </row>
    <row r="30" ht="18" customHeight="1" spans="1:4" x14ac:dyDescent="0.25">
      <c r="A30" s="27" t="s">
        <v>282</v>
      </c>
      <c r="B30" s="27"/>
      <c r="C30" s="27"/>
      <c r="D30" s="27"/>
    </row>
    <row r="31" ht="15" customHeight="1" spans="1:4" x14ac:dyDescent="0.25">
      <c r="A31" s="19" t="s">
        <v>276</v>
      </c>
      <c r="B31" s="28" t="s">
        <v>277</v>
      </c>
      <c r="C31" s="20"/>
      <c r="D31" s="20"/>
    </row>
    <row r="32" ht="15" customHeight="1" spans="1:4" x14ac:dyDescent="0.25">
      <c r="A32" s="19" t="s">
        <v>283</v>
      </c>
      <c r="B32" s="28" t="s">
        <v>284</v>
      </c>
      <c r="C32" s="20">
        <v>394500</v>
      </c>
      <c r="D32" s="20"/>
    </row>
    <row r="33" ht="15" customHeight="1" spans="1:4" x14ac:dyDescent="0.25">
      <c r="A33" s="19" t="s">
        <v>285</v>
      </c>
      <c r="B33" s="19"/>
      <c r="C33" s="20"/>
      <c r="D33" s="20"/>
    </row>
    <row r="34" ht="15" customHeight="1" spans="1:4" x14ac:dyDescent="0.25">
      <c r="A34" s="19" t="s">
        <v>286</v>
      </c>
      <c r="B34" s="28" t="s">
        <v>279</v>
      </c>
      <c r="C34" s="20">
        <v>61050</v>
      </c>
      <c r="D34" s="20"/>
    </row>
    <row r="35" ht="15" customHeight="1" spans="1:4" x14ac:dyDescent="0.25">
      <c r="A35" s="19" t="s">
        <v>287</v>
      </c>
      <c r="B35" s="19"/>
      <c r="C35" s="20"/>
      <c r="D35" s="20"/>
    </row>
    <row r="36" ht="15" customHeight="1" spans="1:4" x14ac:dyDescent="0.25">
      <c r="A36" s="29" t="s">
        <v>288</v>
      </c>
      <c r="B36" s="29"/>
      <c r="C36" s="30">
        <v>455550</v>
      </c>
      <c r="D36" s="30"/>
    </row>
    <row r="37" ht="15" customHeight="1" spans="1:4" x14ac:dyDescent="0.25">
      <c r="A37" s="31" t="s">
        <v>289</v>
      </c>
      <c r="B37" s="31"/>
      <c r="C37" s="32">
        <v>4505000</v>
      </c>
      <c r="D37" s="32"/>
    </row>
    <row r="38" spans="1:3" x14ac:dyDescent="0.25">
      <c r="A38" s="34" t="s">
        <v>290</v>
      </c>
      <c r="C38" s="35">
        <f>=C25-C37</f>
      </c>
    </row>
    <row r="40" spans="1:1" x14ac:dyDescent="0.25">
      <c r="A40" s="34" t="s">
        <v>291</v>
      </c>
    </row>
    <row r="42" spans="1:1" x14ac:dyDescent="0.25">
      <c r="A42" s="36" t="s">
        <v>292</v>
      </c>
    </row>
    <row r="43" spans="1:5" x14ac:dyDescent="0.25">
      <c r="A43" s="37"/>
      <c r="B43" s="37"/>
      <c r="C43" s="37"/>
      <c r="D43" s="37"/>
      <c r="E43" s="37"/>
    </row>
    <row r="44" ht="12" customHeight="1" spans="1:1" x14ac:dyDescent="0.25">
      <c r="A44" s="38" t="s">
        <v>293</v>
      </c>
    </row>
    <row r="45" ht="12" customHeight="1" spans="1:3" x14ac:dyDescent="0.25">
      <c r="A45" s="39" t="s">
        <v>151</v>
      </c>
      <c r="C45" t="s">
        <v>152</v>
      </c>
    </row>
    <row r="46" ht="12" customHeight="1" spans="1:1" x14ac:dyDescent="0.25">
      <c r="A46" s="38" t="s">
        <v>294</v>
      </c>
    </row>
    <row r="47" ht="22" customHeight="1" spans="1:1" x14ac:dyDescent="0.25">
      <c r="A47" s="40" t="s">
        <v>295</v>
      </c>
    </row>
    <row r="48" ht="12" customHeight="1" spans="1:1" x14ac:dyDescent="0.25">
      <c r="A48" s="39" t="s">
        <v>151</v>
      </c>
    </row>
    <row r="49" ht="12" customHeight="1" spans="1:1" x14ac:dyDescent="0.25">
      <c r="A49" s="38" t="s">
        <v>296</v>
      </c>
    </row>
    <row r="50" ht="33" customHeight="1" spans="1:1" x14ac:dyDescent="0.25">
      <c r="A50" s="40" t="s">
        <v>297</v>
      </c>
    </row>
    <row r="51" ht="12" customHeight="1" spans="1:1" x14ac:dyDescent="0.25">
      <c r="A51" s="39" t="s">
        <v>151</v>
      </c>
    </row>
    <row r="52" ht="12" customHeight="1" spans="1:1" x14ac:dyDescent="0.25">
      <c r="A52" s="38" t="s">
        <v>298</v>
      </c>
    </row>
    <row r="53" ht="22" customHeight="1" spans="1:1" x14ac:dyDescent="0.25">
      <c r="A53" s="40" t="s">
        <v>299</v>
      </c>
    </row>
    <row r="54" ht="12" customHeight="1" spans="1:1" x14ac:dyDescent="0.25">
      <c r="A54" s="39" t="s">
        <v>151</v>
      </c>
    </row>
    <row r="55" ht="22" customHeight="1" spans="1:1" x14ac:dyDescent="0.25">
      <c r="A55" s="41" t="s">
        <v>300</v>
      </c>
    </row>
  </sheetData>
  <mergeCells count="10">
    <mergeCell ref="A1:F1"/>
    <mergeCell ref="A2:F2"/>
    <mergeCell ref="A3:F3"/>
    <mergeCell ref="A4:F4"/>
    <mergeCell ref="A6:D6"/>
    <mergeCell ref="A12:D12"/>
    <mergeCell ref="A20:D20"/>
    <mergeCell ref="A25:D25"/>
    <mergeCell ref="A30:D30"/>
    <mergeCell ref="A43:E43"/>
  </mergeCells>
  <pageSetup paperSize="9" orientation="portrait" fitToWidth="1"/>
  <headerFooter>
    <oddHeader>&amp;CHimalayan Trading Pvt. Ltd.</oddHeader>
    <oddFooter>&amp;CPage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0AF"/>
    <pageSetUpPr fitToPage="1"/>
  </sheetPr>
  <dimension ref="A1:F41"/>
  <sheetViews>
    <sheetView workbookViewId="0">
      <pane ySplit="5" topLeftCell="A6" activePane="bottomLeft" state="frozen"/>
      <selection pane="bottomLeft"/>
    </sheetView>
  </sheetViews>
  <sheetFormatPr defaultRowHeight="15" outlineLevelRow="0" outlineLevelCol="0" x14ac:dyDescent="55"/>
  <cols>
    <col min="1" max="1" width="42" customWidth="1"/>
    <col min="2" max="2" width="8" customWidth="1"/>
    <col min="3" max="4" width="18" customWidth="1"/>
  </cols>
  <sheetData>
    <row r="1" ht="26" customHeight="1" spans="1:6" x14ac:dyDescent="0.25">
      <c r="A1" s="21" t="s">
        <v>241</v>
      </c>
      <c r="B1" s="21"/>
      <c r="C1" s="21"/>
      <c r="D1" s="21"/>
      <c r="E1" s="21"/>
      <c r="F1" s="21"/>
    </row>
    <row r="2" ht="20" customHeight="1" spans="1:6" x14ac:dyDescent="0.25">
      <c r="A2" s="22" t="s">
        <v>301</v>
      </c>
      <c r="B2" s="22"/>
      <c r="C2" s="22"/>
      <c r="D2" s="22"/>
      <c r="E2" s="22"/>
      <c r="F2" s="22"/>
    </row>
    <row r="3" ht="16" customHeight="1" spans="1:6" x14ac:dyDescent="0.25">
      <c r="A3" s="23" t="s">
        <v>302</v>
      </c>
      <c r="B3" s="23"/>
      <c r="C3" s="23"/>
      <c r="D3" s="23"/>
      <c r="E3" s="23"/>
      <c r="F3" s="23"/>
    </row>
    <row r="4" ht="14" customHeight="1" spans="1:6" x14ac:dyDescent="0.25">
      <c r="A4" s="24" t="s">
        <v>244</v>
      </c>
      <c r="B4" s="24"/>
      <c r="C4" s="24"/>
      <c r="D4" s="24"/>
      <c r="E4" s="24"/>
      <c r="F4" s="24"/>
    </row>
    <row r="5" ht="18" customHeight="1" spans="1:4" x14ac:dyDescent="0.25">
      <c r="A5" s="25" t="s">
        <v>245</v>
      </c>
      <c r="B5" s="26" t="s">
        <v>160</v>
      </c>
      <c r="C5" s="26" t="s">
        <v>51</v>
      </c>
      <c r="D5" s="26" t="s">
        <v>303</v>
      </c>
    </row>
    <row r="6" ht="18" customHeight="1" spans="1:4" x14ac:dyDescent="0.25">
      <c r="A6" s="27" t="s">
        <v>304</v>
      </c>
      <c r="B6" s="27"/>
      <c r="C6" s="27"/>
      <c r="D6" s="27"/>
    </row>
    <row r="7" ht="15" customHeight="1" spans="1:4" x14ac:dyDescent="0.25">
      <c r="A7" s="19" t="s">
        <v>305</v>
      </c>
      <c r="B7" s="28" t="s">
        <v>306</v>
      </c>
      <c r="C7" s="20">
        <v>3500000</v>
      </c>
      <c r="D7" s="20"/>
    </row>
    <row r="8" ht="15" customHeight="1" spans="1:4" x14ac:dyDescent="0.25">
      <c r="A8" s="19" t="s">
        <v>307</v>
      </c>
      <c r="B8" s="19"/>
      <c r="C8" s="20"/>
      <c r="D8" s="20"/>
    </row>
    <row r="9" ht="15" customHeight="1" spans="1:4" x14ac:dyDescent="0.25">
      <c r="A9" s="19" t="s">
        <v>308</v>
      </c>
      <c r="B9" s="19"/>
      <c r="C9" s="20"/>
      <c r="D9" s="20"/>
    </row>
    <row r="10" ht="15" customHeight="1" spans="1:4" x14ac:dyDescent="0.25">
      <c r="A10" s="29" t="s">
        <v>309</v>
      </c>
      <c r="B10" s="29"/>
      <c r="C10" s="30">
        <v>3500000</v>
      </c>
      <c r="D10" s="30"/>
    </row>
    <row r="11" ht="18" customHeight="1" spans="1:4" x14ac:dyDescent="0.25">
      <c r="A11" s="27" t="s">
        <v>310</v>
      </c>
      <c r="B11" s="27"/>
      <c r="C11" s="27"/>
      <c r="D11" s="27"/>
    </row>
    <row r="12" ht="15" customHeight="1" spans="1:4" x14ac:dyDescent="0.25">
      <c r="A12" s="19" t="s">
        <v>311</v>
      </c>
      <c r="B12" s="28" t="s">
        <v>312</v>
      </c>
      <c r="C12" s="20">
        <v>1780000</v>
      </c>
      <c r="D12" s="20"/>
    </row>
    <row r="13" ht="15" customHeight="1" spans="1:4" x14ac:dyDescent="0.25">
      <c r="A13" s="19" t="s">
        <v>313</v>
      </c>
      <c r="B13" s="28" t="s">
        <v>314</v>
      </c>
      <c r="C13" s="20"/>
      <c r="D13" s="20"/>
    </row>
    <row r="14" ht="15" customHeight="1" spans="1:4" x14ac:dyDescent="0.25">
      <c r="A14" s="19" t="s">
        <v>315</v>
      </c>
      <c r="B14" s="28" t="s">
        <v>316</v>
      </c>
      <c r="C14" s="20">
        <v>305200</v>
      </c>
      <c r="D14" s="20"/>
    </row>
    <row r="15" ht="15" customHeight="1" spans="1:4" x14ac:dyDescent="0.25">
      <c r="A15" s="19" t="s">
        <v>317</v>
      </c>
      <c r="B15" s="19"/>
      <c r="C15" s="20">
        <v>72000</v>
      </c>
      <c r="D15" s="20"/>
    </row>
    <row r="16" ht="15" customHeight="1" spans="1:4" x14ac:dyDescent="0.25">
      <c r="A16" s="19" t="s">
        <v>318</v>
      </c>
      <c r="B16" s="28" t="s">
        <v>249</v>
      </c>
      <c r="C16" s="20">
        <v>150000</v>
      </c>
      <c r="D16" s="20"/>
    </row>
    <row r="17" ht="15" customHeight="1" spans="1:4" x14ac:dyDescent="0.25">
      <c r="A17" s="19" t="s">
        <v>319</v>
      </c>
      <c r="B17" s="28" t="s">
        <v>320</v>
      </c>
      <c r="C17" s="20"/>
      <c r="D17" s="20"/>
    </row>
    <row r="18" ht="15" customHeight="1" spans="1:4" x14ac:dyDescent="0.25">
      <c r="A18" s="19" t="s">
        <v>321</v>
      </c>
      <c r="B18" s="28" t="s">
        <v>322</v>
      </c>
      <c r="C18" s="20">
        <v>582300</v>
      </c>
      <c r="D18" s="20"/>
    </row>
    <row r="19" ht="15" customHeight="1" spans="1:4" x14ac:dyDescent="0.25">
      <c r="A19" s="29" t="s">
        <v>323</v>
      </c>
      <c r="B19" s="29"/>
      <c r="C19" s="30">
        <v>2889500</v>
      </c>
      <c r="D19" s="30"/>
    </row>
    <row r="20" ht="15" customHeight="1" spans="1:4" x14ac:dyDescent="0.25">
      <c r="A20" s="29" t="s">
        <v>324</v>
      </c>
      <c r="B20" s="29"/>
      <c r="C20" s="30">
        <v>610500</v>
      </c>
      <c r="D20" s="30"/>
    </row>
    <row r="21" ht="15" customHeight="1" spans="1:4" x14ac:dyDescent="0.25">
      <c r="A21" s="19" t="s">
        <v>325</v>
      </c>
      <c r="B21" s="19"/>
      <c r="C21" s="20">
        <v>61050</v>
      </c>
      <c r="D21" s="20"/>
    </row>
    <row r="22" ht="15" customHeight="1" spans="1:4" x14ac:dyDescent="0.25">
      <c r="A22" s="29" t="s">
        <v>326</v>
      </c>
      <c r="B22" s="29"/>
      <c r="C22" s="30">
        <v>549450</v>
      </c>
      <c r="D22" s="30"/>
    </row>
    <row r="23" ht="15" customHeight="1" spans="1:4" x14ac:dyDescent="0.25">
      <c r="A23" s="19" t="s">
        <v>327</v>
      </c>
      <c r="B23" s="28" t="s">
        <v>328</v>
      </c>
      <c r="C23" s="20"/>
      <c r="D23" s="20"/>
    </row>
    <row r="24" ht="15" customHeight="1" spans="1:4" x14ac:dyDescent="0.25">
      <c r="A24" s="31" t="s">
        <v>329</v>
      </c>
      <c r="B24" s="31"/>
      <c r="C24" s="32">
        <v>549450</v>
      </c>
      <c r="D24" s="32"/>
    </row>
    <row r="26" spans="1:1" x14ac:dyDescent="0.25">
      <c r="A26" s="34" t="s">
        <v>291</v>
      </c>
    </row>
    <row r="28" spans="1:1" x14ac:dyDescent="0.25">
      <c r="A28" s="36" t="s">
        <v>292</v>
      </c>
    </row>
    <row r="29" spans="1:5" x14ac:dyDescent="0.25">
      <c r="A29" s="37"/>
      <c r="B29" s="37"/>
      <c r="C29" s="37"/>
      <c r="D29" s="37"/>
      <c r="E29" s="37"/>
    </row>
    <row r="30" ht="12" customHeight="1" spans="1:1" x14ac:dyDescent="0.25">
      <c r="A30" s="38" t="s">
        <v>293</v>
      </c>
    </row>
    <row r="31" ht="12" customHeight="1" spans="1:3" x14ac:dyDescent="0.25">
      <c r="A31" s="39" t="s">
        <v>151</v>
      </c>
      <c r="C31" t="s">
        <v>152</v>
      </c>
    </row>
    <row r="32" ht="12" customHeight="1" spans="1:1" x14ac:dyDescent="0.25">
      <c r="A32" s="38" t="s">
        <v>294</v>
      </c>
    </row>
    <row r="33" ht="22" customHeight="1" spans="1:1" x14ac:dyDescent="0.25">
      <c r="A33" s="40" t="s">
        <v>295</v>
      </c>
    </row>
    <row r="34" ht="12" customHeight="1" spans="1:1" x14ac:dyDescent="0.25">
      <c r="A34" s="39" t="s">
        <v>151</v>
      </c>
    </row>
    <row r="35" ht="12" customHeight="1" spans="1:1" x14ac:dyDescent="0.25">
      <c r="A35" s="38" t="s">
        <v>296</v>
      </c>
    </row>
    <row r="36" ht="33" customHeight="1" spans="1:1" x14ac:dyDescent="0.25">
      <c r="A36" s="40" t="s">
        <v>297</v>
      </c>
    </row>
    <row r="37" ht="12" customHeight="1" spans="1:1" x14ac:dyDescent="0.25">
      <c r="A37" s="39" t="s">
        <v>151</v>
      </c>
    </row>
    <row r="38" ht="12" customHeight="1" spans="1:1" x14ac:dyDescent="0.25">
      <c r="A38" s="38" t="s">
        <v>298</v>
      </c>
    </row>
    <row r="39" ht="22" customHeight="1" spans="1:1" x14ac:dyDescent="0.25">
      <c r="A39" s="40" t="s">
        <v>299</v>
      </c>
    </row>
    <row r="40" ht="12" customHeight="1" spans="1:1" x14ac:dyDescent="0.25">
      <c r="A40" s="39" t="s">
        <v>151</v>
      </c>
    </row>
    <row r="41" ht="22" customHeight="1" spans="1:1" x14ac:dyDescent="0.25">
      <c r="A41" s="41" t="s">
        <v>300</v>
      </c>
    </row>
  </sheetData>
  <mergeCells count="7">
    <mergeCell ref="A1:F1"/>
    <mergeCell ref="A2:F2"/>
    <mergeCell ref="A3:F3"/>
    <mergeCell ref="A4:F4"/>
    <mergeCell ref="A6:D6"/>
    <mergeCell ref="A11:D11"/>
    <mergeCell ref="A29:E29"/>
  </mergeCells>
  <pageSetup paperSize="9" orientation="portrait" fitToWidth="1"/>
  <headerFooter>
    <oddHeader>&amp;CHimalayan Trading Pvt. Ltd.</oddHeader>
    <oddFooter>&amp;CPage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0AF"/>
    <pageSetUpPr fitToPage="1"/>
  </sheetPr>
  <dimension ref="A1:F11"/>
  <sheetFormatPr defaultRowHeight="15" outlineLevelRow="0" outlineLevelCol="0" x14ac:dyDescent="55"/>
  <cols>
    <col min="1" max="1" width="36" customWidth="1"/>
    <col min="2" max="2" width="18" customWidth="1"/>
    <col min="3" max="4" width="16" customWidth="1"/>
    <col min="5" max="5" width="20" customWidth="1"/>
    <col min="6" max="6" width="18" customWidth="1"/>
  </cols>
  <sheetData>
    <row r="1" spans="1:6" x14ac:dyDescent="0.25">
      <c r="A1" s="42" t="s">
        <v>241</v>
      </c>
      <c r="B1" s="42"/>
      <c r="C1" s="42"/>
      <c r="D1" s="42"/>
      <c r="E1" s="42"/>
      <c r="F1" s="42"/>
    </row>
    <row r="2" spans="1:6" x14ac:dyDescent="0.25">
      <c r="A2" s="43" t="s">
        <v>330</v>
      </c>
      <c r="B2" s="43"/>
      <c r="C2" s="43"/>
      <c r="D2" s="43"/>
      <c r="E2" s="43"/>
      <c r="F2" s="43"/>
    </row>
    <row r="3" spans="1:6" x14ac:dyDescent="0.25">
      <c r="A3" s="44" t="s">
        <v>302</v>
      </c>
      <c r="B3" s="44"/>
      <c r="C3" s="44"/>
      <c r="D3" s="44"/>
      <c r="E3" s="44"/>
      <c r="F3" s="44"/>
    </row>
    <row r="5" spans="1:6" x14ac:dyDescent="0.25">
      <c r="A5" s="45" t="s">
        <v>245</v>
      </c>
      <c r="B5" s="46" t="s">
        <v>331</v>
      </c>
      <c r="C5" s="46" t="s">
        <v>332</v>
      </c>
      <c r="D5" s="46" t="s">
        <v>210</v>
      </c>
      <c r="E5" s="46" t="s">
        <v>212</v>
      </c>
      <c r="F5" s="46" t="s">
        <v>333</v>
      </c>
    </row>
    <row r="6" ht="15" customHeight="1" spans="1:6" x14ac:dyDescent="0.25">
      <c r="A6" s="19" t="s">
        <v>334</v>
      </c>
      <c r="B6" s="20"/>
      <c r="C6" s="20"/>
      <c r="D6" s="20"/>
      <c r="E6" s="20"/>
      <c r="F6" s="20"/>
    </row>
    <row r="7" ht="15" customHeight="1" spans="1:6" x14ac:dyDescent="0.25">
      <c r="A7" s="19" t="s">
        <v>335</v>
      </c>
      <c r="B7" s="20"/>
      <c r="C7" s="20"/>
      <c r="D7" s="20"/>
      <c r="E7" s="20">
        <v>549450</v>
      </c>
      <c r="F7" s="20">
        <v>549450</v>
      </c>
    </row>
    <row r="8" ht="15" customHeight="1" spans="1:6" x14ac:dyDescent="0.25">
      <c r="A8" s="19" t="s">
        <v>336</v>
      </c>
      <c r="B8" s="20">
        <v>2000000</v>
      </c>
      <c r="C8" s="20"/>
      <c r="D8" s="20"/>
      <c r="E8" s="20"/>
      <c r="F8" s="20">
        <v>2000000</v>
      </c>
    </row>
    <row r="9" ht="15" customHeight="1" spans="1:6" x14ac:dyDescent="0.25">
      <c r="A9" s="19" t="s">
        <v>337</v>
      </c>
      <c r="B9" s="20"/>
      <c r="C9" s="20"/>
      <c r="D9" s="20"/>
      <c r="E9" s="20"/>
      <c r="F9" s="20"/>
    </row>
    <row r="10" ht="15" customHeight="1" spans="1:6" x14ac:dyDescent="0.25">
      <c r="A10" s="19" t="s">
        <v>338</v>
      </c>
      <c r="B10" s="20"/>
      <c r="C10" s="20"/>
      <c r="D10" s="20"/>
      <c r="E10" s="20"/>
      <c r="F10" s="20"/>
    </row>
    <row r="11" ht="15" customHeight="1" spans="1:6" x14ac:dyDescent="0.25">
      <c r="A11" s="47" t="s">
        <v>339</v>
      </c>
      <c r="B11" s="48">
        <v>2000000</v>
      </c>
      <c r="C11" s="48"/>
      <c r="D11" s="48">
        <v>500000</v>
      </c>
      <c r="E11" s="48">
        <v>549450</v>
      </c>
      <c r="F11" s="48">
        <v>3049450</v>
      </c>
    </row>
  </sheetData>
  <mergeCells count="3">
    <mergeCell ref="A1:F1"/>
    <mergeCell ref="A2:F2"/>
    <mergeCell ref="A3:F3"/>
  </mergeCells>
  <pageSetup paperSize="9" orientation="landscape" fitToWidth="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0AF"/>
    <pageSetUpPr fitToPage="1"/>
  </sheetPr>
  <dimension ref="A1:F56"/>
  <sheetViews>
    <sheetView workbookViewId="0">
      <pane ySplit="5" topLeftCell="A6" activePane="bottomLeft" state="frozen"/>
      <selection pane="bottomLeft"/>
    </sheetView>
  </sheetViews>
  <sheetFormatPr defaultRowHeight="15" outlineLevelRow="0" outlineLevelCol="0" x14ac:dyDescent="55"/>
  <cols>
    <col min="1" max="1" width="50" customWidth="1"/>
    <col min="2" max="2" width="8" customWidth="1"/>
    <col min="3" max="4" width="18" customWidth="1"/>
  </cols>
  <sheetData>
    <row r="1" ht="26" customHeight="1" spans="1:6" x14ac:dyDescent="0.25">
      <c r="A1" s="21" t="s">
        <v>241</v>
      </c>
      <c r="B1" s="21"/>
      <c r="C1" s="21"/>
      <c r="D1" s="21"/>
      <c r="E1" s="21"/>
      <c r="F1" s="21"/>
    </row>
    <row r="2" ht="20" customHeight="1" spans="1:6" x14ac:dyDescent="0.25">
      <c r="A2" s="22" t="s">
        <v>340</v>
      </c>
      <c r="B2" s="22"/>
      <c r="C2" s="22"/>
      <c r="D2" s="22"/>
      <c r="E2" s="22"/>
      <c r="F2" s="22"/>
    </row>
    <row r="3" ht="16" customHeight="1" spans="1:6" x14ac:dyDescent="0.25">
      <c r="A3" s="23" t="s">
        <v>302</v>
      </c>
      <c r="B3" s="23"/>
      <c r="C3" s="23"/>
      <c r="D3" s="23"/>
      <c r="E3" s="23"/>
      <c r="F3" s="23"/>
    </row>
    <row r="4" ht="14" customHeight="1" spans="1:6" x14ac:dyDescent="0.25">
      <c r="A4" s="24" t="s">
        <v>244</v>
      </c>
      <c r="B4" s="24"/>
      <c r="C4" s="24"/>
      <c r="D4" s="24"/>
      <c r="E4" s="24"/>
      <c r="F4" s="24"/>
    </row>
    <row r="5" ht="18" customHeight="1" spans="1:4" x14ac:dyDescent="0.25">
      <c r="A5" s="25" t="s">
        <v>245</v>
      </c>
      <c r="B5" s="26" t="s">
        <v>160</v>
      </c>
      <c r="C5" s="26" t="s">
        <v>51</v>
      </c>
      <c r="D5" s="26" t="s">
        <v>151</v>
      </c>
    </row>
    <row r="6" ht="18" customHeight="1" spans="1:4" x14ac:dyDescent="0.25">
      <c r="A6" s="27" t="s">
        <v>341</v>
      </c>
      <c r="B6" s="27"/>
      <c r="C6" s="27"/>
      <c r="D6" s="27"/>
    </row>
    <row r="7" ht="15" customHeight="1" spans="1:4" x14ac:dyDescent="0.25">
      <c r="A7" s="19" t="s">
        <v>342</v>
      </c>
      <c r="B7" s="19"/>
      <c r="C7" s="20">
        <v>549450</v>
      </c>
      <c r="D7" s="20"/>
    </row>
    <row r="8" ht="15" customHeight="1" spans="1:4" x14ac:dyDescent="0.25">
      <c r="A8" s="19" t="s">
        <v>343</v>
      </c>
      <c r="B8" s="19"/>
      <c r="C8" s="20"/>
      <c r="D8" s="20"/>
    </row>
    <row r="9" ht="15" customHeight="1" spans="1:4" x14ac:dyDescent="0.25">
      <c r="A9" s="19" t="s">
        <v>344</v>
      </c>
      <c r="B9" s="19"/>
      <c r="C9" s="20">
        <v>150000</v>
      </c>
      <c r="D9" s="20"/>
    </row>
    <row r="10" ht="15" customHeight="1" spans="1:4" x14ac:dyDescent="0.25">
      <c r="A10" s="19" t="s">
        <v>345</v>
      </c>
      <c r="B10" s="19"/>
      <c r="C10" s="20"/>
      <c r="D10" s="20"/>
    </row>
    <row r="11" ht="15" customHeight="1" spans="1:4" x14ac:dyDescent="0.25">
      <c r="A11" s="19" t="s">
        <v>346</v>
      </c>
      <c r="B11" s="19"/>
      <c r="C11" s="20"/>
      <c r="D11" s="20"/>
    </row>
    <row r="12" ht="15" customHeight="1" spans="1:4" x14ac:dyDescent="0.25">
      <c r="A12" s="19" t="s">
        <v>347</v>
      </c>
      <c r="B12" s="19"/>
      <c r="C12" s="20"/>
      <c r="D12" s="20"/>
    </row>
    <row r="13" ht="15" customHeight="1" spans="1:4" x14ac:dyDescent="0.25">
      <c r="A13" s="19" t="s">
        <v>348</v>
      </c>
      <c r="B13" s="19"/>
      <c r="C13" s="20">
        <v>72000</v>
      </c>
      <c r="D13" s="20"/>
    </row>
    <row r="14" ht="15" customHeight="1" spans="1:4" x14ac:dyDescent="0.25">
      <c r="A14" s="19" t="s">
        <v>349</v>
      </c>
      <c r="B14" s="19"/>
      <c r="C14" s="20"/>
      <c r="D14" s="20"/>
    </row>
    <row r="15" ht="15" customHeight="1" spans="1:4" x14ac:dyDescent="0.25">
      <c r="A15" s="19" t="s">
        <v>350</v>
      </c>
      <c r="B15" s="19"/>
      <c r="C15" s="20"/>
      <c r="D15" s="20"/>
    </row>
    <row r="16" ht="15" customHeight="1" spans="1:4" x14ac:dyDescent="0.25">
      <c r="A16" s="19" t="s">
        <v>351</v>
      </c>
      <c r="B16" s="19"/>
      <c r="C16" s="20"/>
      <c r="D16" s="20"/>
    </row>
    <row r="17" ht="15" customHeight="1" spans="1:4" x14ac:dyDescent="0.25">
      <c r="A17" s="19" t="s">
        <v>352</v>
      </c>
      <c r="B17" s="19"/>
      <c r="C17" s="20">
        <v>-335000</v>
      </c>
      <c r="D17" s="20"/>
    </row>
    <row r="18" ht="15" customHeight="1" spans="1:4" x14ac:dyDescent="0.25">
      <c r="A18" s="19" t="s">
        <v>353</v>
      </c>
      <c r="B18" s="19"/>
      <c r="C18" s="20">
        <v>-320000</v>
      </c>
      <c r="D18" s="20"/>
    </row>
    <row r="19" ht="15" customHeight="1" spans="1:4" x14ac:dyDescent="0.25">
      <c r="A19" s="19" t="s">
        <v>354</v>
      </c>
      <c r="B19" s="19"/>
      <c r="C19" s="20"/>
      <c r="D19" s="20"/>
    </row>
    <row r="20" ht="15" customHeight="1" spans="1:4" x14ac:dyDescent="0.25">
      <c r="A20" s="19" t="s">
        <v>355</v>
      </c>
      <c r="B20" s="19"/>
      <c r="C20" s="20">
        <v>394500</v>
      </c>
      <c r="D20" s="20"/>
    </row>
    <row r="21" ht="15" customHeight="1" spans="1:4" x14ac:dyDescent="0.25">
      <c r="A21" s="19" t="s">
        <v>356</v>
      </c>
      <c r="B21" s="19"/>
      <c r="C21" s="20"/>
      <c r="D21" s="20"/>
    </row>
    <row r="22" ht="15" customHeight="1" spans="1:4" x14ac:dyDescent="0.25">
      <c r="A22" s="19" t="s">
        <v>357</v>
      </c>
      <c r="B22" s="19"/>
      <c r="C22" s="20"/>
      <c r="D22" s="20"/>
    </row>
    <row r="23" ht="15" customHeight="1" spans="1:4" x14ac:dyDescent="0.25">
      <c r="A23" s="29" t="s">
        <v>358</v>
      </c>
      <c r="B23" s="29"/>
      <c r="C23" s="30">
        <v>510950</v>
      </c>
      <c r="D23" s="30"/>
    </row>
    <row r="24" ht="15" customHeight="1" spans="1:4" x14ac:dyDescent="0.25">
      <c r="A24" s="19" t="s">
        <v>359</v>
      </c>
      <c r="B24" s="19"/>
      <c r="C24" s="20">
        <v>-72000</v>
      </c>
      <c r="D24" s="20"/>
    </row>
    <row r="25" ht="15" customHeight="1" spans="1:4" x14ac:dyDescent="0.25">
      <c r="A25" s="19" t="s">
        <v>360</v>
      </c>
      <c r="B25" s="19"/>
      <c r="C25" s="20"/>
      <c r="D25" s="20"/>
    </row>
    <row r="26" ht="15" customHeight="1" spans="1:4" x14ac:dyDescent="0.25">
      <c r="A26" s="29" t="s">
        <v>361</v>
      </c>
      <c r="B26" s="29"/>
      <c r="C26" s="30">
        <v>438950</v>
      </c>
      <c r="D26" s="30"/>
    </row>
    <row r="27" ht="18" customHeight="1" spans="1:4" x14ac:dyDescent="0.25">
      <c r="A27" s="27" t="s">
        <v>362</v>
      </c>
      <c r="B27" s="27"/>
      <c r="C27" s="27"/>
      <c r="D27" s="27"/>
    </row>
    <row r="28" ht="15" customHeight="1" spans="1:4" x14ac:dyDescent="0.25">
      <c r="A28" s="19" t="s">
        <v>363</v>
      </c>
      <c r="B28" s="19"/>
      <c r="C28" s="20"/>
      <c r="D28" s="20"/>
    </row>
    <row r="29" ht="15" customHeight="1" spans="1:4" x14ac:dyDescent="0.25">
      <c r="A29" s="19" t="s">
        <v>364</v>
      </c>
      <c r="B29" s="19"/>
      <c r="C29" s="20"/>
      <c r="D29" s="20"/>
    </row>
    <row r="30" ht="15" customHeight="1" spans="1:4" x14ac:dyDescent="0.25">
      <c r="A30" s="19" t="s">
        <v>365</v>
      </c>
      <c r="B30" s="19"/>
      <c r="C30" s="20"/>
      <c r="D30" s="20"/>
    </row>
    <row r="31" ht="15" customHeight="1" spans="1:4" x14ac:dyDescent="0.25">
      <c r="A31" s="19" t="s">
        <v>366</v>
      </c>
      <c r="B31" s="19"/>
      <c r="C31" s="20"/>
      <c r="D31" s="20"/>
    </row>
    <row r="32" ht="15" customHeight="1" spans="1:4" x14ac:dyDescent="0.25">
      <c r="A32" s="19" t="s">
        <v>367</v>
      </c>
      <c r="B32" s="19"/>
      <c r="C32" s="20"/>
      <c r="D32" s="20"/>
    </row>
    <row r="33" ht="15" customHeight="1" spans="1:4" x14ac:dyDescent="0.25">
      <c r="A33" s="29" t="s">
        <v>368</v>
      </c>
      <c r="B33" s="29"/>
      <c r="C33" s="30"/>
      <c r="D33" s="30"/>
    </row>
    <row r="34" ht="18" customHeight="1" spans="1:4" x14ac:dyDescent="0.25">
      <c r="A34" s="27" t="s">
        <v>369</v>
      </c>
      <c r="B34" s="27"/>
      <c r="C34" s="27"/>
      <c r="D34" s="27"/>
    </row>
    <row r="35" ht="15" customHeight="1" spans="1:4" x14ac:dyDescent="0.25">
      <c r="A35" s="19" t="s">
        <v>370</v>
      </c>
      <c r="B35" s="19"/>
      <c r="C35" s="20">
        <v>2000000</v>
      </c>
      <c r="D35" s="20"/>
    </row>
    <row r="36" ht="15" customHeight="1" spans="1:4" x14ac:dyDescent="0.25">
      <c r="A36" s="19" t="s">
        <v>371</v>
      </c>
      <c r="B36" s="19"/>
      <c r="C36" s="20">
        <v>800000</v>
      </c>
      <c r="D36" s="20"/>
    </row>
    <row r="37" ht="15" customHeight="1" spans="1:4" x14ac:dyDescent="0.25">
      <c r="A37" s="19" t="s">
        <v>372</v>
      </c>
      <c r="B37" s="19"/>
      <c r="C37" s="20"/>
      <c r="D37" s="20"/>
    </row>
    <row r="38" ht="15" customHeight="1" spans="1:4" x14ac:dyDescent="0.25">
      <c r="A38" s="19" t="s">
        <v>373</v>
      </c>
      <c r="B38" s="19"/>
      <c r="C38" s="20"/>
      <c r="D38" s="20"/>
    </row>
    <row r="39" ht="15" customHeight="1" spans="1:4" x14ac:dyDescent="0.25">
      <c r="A39" s="19" t="s">
        <v>374</v>
      </c>
      <c r="B39" s="19"/>
      <c r="C39" s="20"/>
      <c r="D39" s="20"/>
    </row>
    <row r="40" ht="15" customHeight="1" spans="1:4" x14ac:dyDescent="0.25">
      <c r="A40" s="19" t="s">
        <v>375</v>
      </c>
      <c r="B40" s="19"/>
      <c r="C40" s="20"/>
      <c r="D40" s="20"/>
    </row>
    <row r="41" ht="15" customHeight="1" spans="1:4" x14ac:dyDescent="0.25">
      <c r="A41" s="29" t="s">
        <v>376</v>
      </c>
      <c r="B41" s="29"/>
      <c r="C41" s="30">
        <v>2800000</v>
      </c>
      <c r="D41" s="30"/>
    </row>
    <row r="42" ht="15" customHeight="1" spans="1:4" x14ac:dyDescent="0.25">
      <c r="A42" s="31" t="s">
        <v>377</v>
      </c>
      <c r="B42" s="31"/>
      <c r="C42" s="32">
        <v>3238950</v>
      </c>
      <c r="D42" s="32"/>
    </row>
    <row r="43" ht="15" customHeight="1" spans="1:4" x14ac:dyDescent="0.25">
      <c r="A43" s="19" t="s">
        <v>378</v>
      </c>
      <c r="B43" s="19"/>
      <c r="C43" s="49">
        <f>C42+C26+C32+C40</f>
        <v>0</v>
      </c>
      <c r="D43" s="20"/>
    </row>
    <row r="44" ht="15" customHeight="1" spans="1:4" x14ac:dyDescent="0.25">
      <c r="A44" s="29" t="s">
        <v>379</v>
      </c>
      <c r="B44" s="29"/>
      <c r="C44" s="30">
        <v>800000</v>
      </c>
      <c r="D44" s="30"/>
    </row>
    <row r="45" ht="15" customHeight="1" spans="1:4" x14ac:dyDescent="0.25">
      <c r="A45" s="19" t="s">
        <v>380</v>
      </c>
      <c r="B45" s="19"/>
      <c r="C45" s="20">
        <v>-2438950</v>
      </c>
      <c r="D45" s="20"/>
    </row>
    <row r="47" spans="1:1" x14ac:dyDescent="0.25">
      <c r="A47" s="34" t="s">
        <v>291</v>
      </c>
    </row>
    <row r="49" spans="1:1" x14ac:dyDescent="0.25">
      <c r="A49" s="36" t="s">
        <v>292</v>
      </c>
    </row>
    <row r="52" spans="1:3" x14ac:dyDescent="0.25">
      <c r="A52" t="s">
        <v>150</v>
      </c>
      <c r="C52" t="s">
        <v>152</v>
      </c>
    </row>
    <row r="54" spans="1:1" x14ac:dyDescent="0.25">
      <c r="A54" t="s">
        <v>381</v>
      </c>
    </row>
    <row r="55" spans="1:1" x14ac:dyDescent="0.25">
      <c r="A55" t="s">
        <v>155</v>
      </c>
    </row>
    <row r="56" spans="1:1" x14ac:dyDescent="0.25">
      <c r="A56" t="s">
        <v>382</v>
      </c>
    </row>
  </sheetData>
  <mergeCells count="7">
    <mergeCell ref="A1:F1"/>
    <mergeCell ref="A2:F2"/>
    <mergeCell ref="A3:F3"/>
    <mergeCell ref="A4:F4"/>
    <mergeCell ref="A6:D6"/>
    <mergeCell ref="A27:D27"/>
    <mergeCell ref="A34:D34"/>
  </mergeCells>
  <pageSetup paperSize="9" orientation="landscape" fitToWidth="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53"/>
  <sheetFormatPr defaultRowHeight="15" outlineLevelRow="0" outlineLevelCol="0" x14ac:dyDescent="55"/>
  <cols>
    <col min="1" max="1" width="5" customWidth="1"/>
    <col min="2" max="2" width="100" customWidth="1"/>
  </cols>
  <sheetData>
    <row r="1" ht="22" customHeight="1" spans="2:2" x14ac:dyDescent="0.25">
      <c r="B1" s="50" t="s">
        <v>101</v>
      </c>
    </row>
    <row r="2" ht="15" customHeight="1" spans="2:2" x14ac:dyDescent="0.25">
      <c r="B2" s="51" t="s">
        <v>383</v>
      </c>
    </row>
    <row r="3" ht="6" customHeight="1" x14ac:dyDescent="0.25"/>
    <row r="4" ht="22" customHeight="1" spans="2:2" x14ac:dyDescent="0.25">
      <c r="B4" s="50" t="s">
        <v>384</v>
      </c>
    </row>
    <row r="5" ht="6" customHeight="1" x14ac:dyDescent="0.25"/>
    <row r="6" ht="18" customHeight="1" spans="2:2" x14ac:dyDescent="0.25">
      <c r="B6" s="52" t="s">
        <v>385</v>
      </c>
    </row>
    <row r="7" ht="70" customHeight="1" spans="2:2" x14ac:dyDescent="0.25">
      <c r="B7" s="51" t="s">
        <v>386</v>
      </c>
    </row>
    <row r="8" ht="6" customHeight="1" x14ac:dyDescent="0.25"/>
    <row r="9" ht="18" customHeight="1" spans="2:2" x14ac:dyDescent="0.25">
      <c r="B9" s="52" t="s">
        <v>387</v>
      </c>
    </row>
    <row r="10" ht="42" customHeight="1" spans="2:2" x14ac:dyDescent="0.25">
      <c r="B10" s="51" t="s">
        <v>388</v>
      </c>
    </row>
    <row r="11" ht="42" customHeight="1" spans="2:2" x14ac:dyDescent="0.25">
      <c r="B11" s="51" t="s">
        <v>389</v>
      </c>
    </row>
    <row r="12" ht="6" customHeight="1" x14ac:dyDescent="0.25"/>
    <row r="13" ht="18" customHeight="1" spans="2:2" x14ac:dyDescent="0.25">
      <c r="B13" s="52" t="s">
        <v>390</v>
      </c>
    </row>
    <row r="14" ht="42" customHeight="1" spans="2:2" x14ac:dyDescent="0.25">
      <c r="B14" s="51" t="s">
        <v>391</v>
      </c>
    </row>
    <row r="15" ht="6" customHeight="1" x14ac:dyDescent="0.25"/>
    <row r="16" ht="18" customHeight="1" spans="2:2" x14ac:dyDescent="0.25">
      <c r="B16" s="52" t="s">
        <v>392</v>
      </c>
    </row>
    <row r="17" ht="28" customHeight="1" spans="2:2" x14ac:dyDescent="0.25">
      <c r="B17" s="51" t="s">
        <v>393</v>
      </c>
    </row>
    <row r="18" ht="56" customHeight="1" spans="2:2" x14ac:dyDescent="0.25">
      <c r="B18" s="51" t="s">
        <v>394</v>
      </c>
    </row>
    <row r="19" ht="28" customHeight="1" spans="2:2" x14ac:dyDescent="0.25">
      <c r="B19" s="51" t="s">
        <v>395</v>
      </c>
    </row>
    <row r="20" ht="28" customHeight="1" spans="2:2" x14ac:dyDescent="0.25">
      <c r="B20" s="51" t="s">
        <v>396</v>
      </c>
    </row>
    <row r="21" ht="15" customHeight="1" spans="2:2" x14ac:dyDescent="0.25">
      <c r="B21" s="51" t="s">
        <v>397</v>
      </c>
    </row>
    <row r="22" ht="6" customHeight="1" x14ac:dyDescent="0.25"/>
    <row r="23" ht="18" customHeight="1" spans="2:2" x14ac:dyDescent="0.25">
      <c r="B23" s="52" t="s">
        <v>398</v>
      </c>
    </row>
    <row r="24" ht="56" customHeight="1" spans="2:2" x14ac:dyDescent="0.25">
      <c r="B24" s="51" t="s">
        <v>399</v>
      </c>
    </row>
    <row r="25" ht="28" customHeight="1" spans="2:2" x14ac:dyDescent="0.25">
      <c r="B25" s="51" t="s">
        <v>400</v>
      </c>
    </row>
    <row r="26" ht="28" customHeight="1" spans="2:2" x14ac:dyDescent="0.25">
      <c r="B26" s="51" t="s">
        <v>401</v>
      </c>
    </row>
    <row r="27" ht="56" customHeight="1" spans="2:2" x14ac:dyDescent="0.25">
      <c r="B27" s="51" t="s">
        <v>402</v>
      </c>
    </row>
    <row r="28" ht="6" customHeight="1" x14ac:dyDescent="0.25"/>
    <row r="29" ht="18" customHeight="1" spans="2:2" x14ac:dyDescent="0.25">
      <c r="B29" s="52" t="s">
        <v>403</v>
      </c>
    </row>
    <row r="30" ht="42" customHeight="1" spans="2:2" x14ac:dyDescent="0.25">
      <c r="B30" s="51" t="s">
        <v>404</v>
      </c>
    </row>
    <row r="31" ht="6" customHeight="1" x14ac:dyDescent="0.25"/>
    <row r="32" ht="18" customHeight="1" spans="2:2" x14ac:dyDescent="0.25">
      <c r="B32" s="52" t="s">
        <v>405</v>
      </c>
    </row>
    <row r="33" ht="42" customHeight="1" spans="2:2" x14ac:dyDescent="0.25">
      <c r="B33" s="51" t="s">
        <v>406</v>
      </c>
    </row>
    <row r="34" ht="42" customHeight="1" spans="2:2" x14ac:dyDescent="0.25">
      <c r="B34" s="51" t="s">
        <v>407</v>
      </c>
    </row>
    <row r="35" ht="6" customHeight="1" x14ac:dyDescent="0.25"/>
    <row r="36" ht="18" customHeight="1" spans="2:2" x14ac:dyDescent="0.25">
      <c r="B36" s="52" t="s">
        <v>408</v>
      </c>
    </row>
    <row r="37" ht="42" customHeight="1" spans="2:2" x14ac:dyDescent="0.25">
      <c r="B37" s="51" t="s">
        <v>409</v>
      </c>
    </row>
    <row r="38" ht="6" customHeight="1" x14ac:dyDescent="0.25"/>
    <row r="39" ht="18" customHeight="1" spans="2:2" x14ac:dyDescent="0.25">
      <c r="B39" s="52" t="s">
        <v>410</v>
      </c>
    </row>
    <row r="40" ht="28" customHeight="1" spans="2:2" x14ac:dyDescent="0.25">
      <c r="B40" s="51" t="s">
        <v>411</v>
      </c>
    </row>
    <row r="41" ht="28" customHeight="1" spans="2:2" x14ac:dyDescent="0.25">
      <c r="B41" s="51" t="s">
        <v>412</v>
      </c>
    </row>
    <row r="42" ht="28" customHeight="1" spans="2:2" x14ac:dyDescent="0.25">
      <c r="B42" s="51" t="s">
        <v>413</v>
      </c>
    </row>
    <row r="43" ht="6" customHeight="1" x14ac:dyDescent="0.25"/>
    <row r="44" ht="18" customHeight="1" spans="2:2" x14ac:dyDescent="0.25">
      <c r="B44" s="52" t="s">
        <v>414</v>
      </c>
    </row>
    <row r="45" ht="56" customHeight="1" spans="2:2" x14ac:dyDescent="0.25">
      <c r="B45" s="51" t="s">
        <v>415</v>
      </c>
    </row>
    <row r="46" ht="56" customHeight="1" spans="2:2" x14ac:dyDescent="0.25">
      <c r="B46" s="51" t="s">
        <v>416</v>
      </c>
    </row>
    <row r="47" ht="6" customHeight="1" x14ac:dyDescent="0.25"/>
    <row r="48" ht="18" customHeight="1" spans="2:2" x14ac:dyDescent="0.25">
      <c r="B48" s="52" t="s">
        <v>417</v>
      </c>
    </row>
    <row r="49" ht="84" customHeight="1" spans="2:2" x14ac:dyDescent="0.25">
      <c r="B49" s="51" t="s">
        <v>418</v>
      </c>
    </row>
    <row r="50" ht="6" customHeight="1" x14ac:dyDescent="0.25"/>
    <row r="51" ht="18" customHeight="1" spans="2:2" x14ac:dyDescent="0.25">
      <c r="B51" s="52" t="s">
        <v>419</v>
      </c>
    </row>
    <row r="52" ht="28" customHeight="1" spans="2:2" x14ac:dyDescent="0.25">
      <c r="B52" s="51" t="s">
        <v>420</v>
      </c>
    </row>
    <row r="53" ht="6" customHeight="1" x14ac:dyDescent="0.25"/>
  </sheetData>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FormatPr defaultRowHeight="15" outlineLevelRow="0" outlineLevelCol="0" x14ac:dyDescent="55"/>
  <cols>
    <col min="1" max="1" width="5" customWidth="1"/>
    <col min="2" max="2" width="100" customWidth="1"/>
  </cols>
  <sheetData>
    <row r="1" ht="22" customHeight="1" spans="2:2" x14ac:dyDescent="0.25">
      <c r="B1" s="50" t="s">
        <v>101</v>
      </c>
    </row>
    <row r="2" ht="15" customHeight="1" spans="2:2" x14ac:dyDescent="0.25">
      <c r="B2" s="51" t="s">
        <v>383</v>
      </c>
    </row>
    <row r="3" ht="6" customHeight="1" x14ac:dyDescent="0.25"/>
    <row r="4" ht="22" customHeight="1" spans="2:2" x14ac:dyDescent="0.25">
      <c r="B4" s="50" t="s">
        <v>421</v>
      </c>
    </row>
    <row r="5" ht="6" customHeight="1" x14ac:dyDescent="0.25"/>
    <row r="6" ht="56" customHeight="1" spans="2:2" x14ac:dyDescent="0.25">
      <c r="B6" s="51" t="s">
        <v>422</v>
      </c>
    </row>
    <row r="7" ht="6" customHeight="1" x14ac:dyDescent="0.25"/>
    <row r="8" ht="42" customHeight="1" spans="2:2" x14ac:dyDescent="0.25">
      <c r="B8" s="51" t="s">
        <v>423</v>
      </c>
    </row>
    <row r="9" ht="6" customHeight="1" x14ac:dyDescent="0.25"/>
    <row r="10" ht="18" customHeight="1" spans="2:2" x14ac:dyDescent="0.25">
      <c r="B10" s="52" t="s">
        <v>424</v>
      </c>
    </row>
    <row r="11" ht="6" customHeight="1" x14ac:dyDescent="0.25"/>
    <row r="12" ht="18" customHeight="1" spans="2:2" x14ac:dyDescent="0.25">
      <c r="B12" s="52" t="s">
        <v>425</v>
      </c>
    </row>
    <row r="13" ht="56" customHeight="1" spans="2:2" x14ac:dyDescent="0.25">
      <c r="B13" s="51" t="s">
        <v>426</v>
      </c>
    </row>
    <row r="14" ht="6" customHeight="1" x14ac:dyDescent="0.25"/>
    <row r="15" ht="18" customHeight="1" spans="2:2" x14ac:dyDescent="0.25">
      <c r="B15" s="52" t="s">
        <v>427</v>
      </c>
    </row>
    <row r="16" ht="56" customHeight="1" spans="2:2" x14ac:dyDescent="0.25">
      <c r="B16" s="51" t="s">
        <v>428</v>
      </c>
    </row>
    <row r="17" ht="6" customHeight="1" x14ac:dyDescent="0.25"/>
    <row r="18" ht="18" customHeight="1" spans="2:2" x14ac:dyDescent="0.25">
      <c r="B18" s="52" t="s">
        <v>429</v>
      </c>
    </row>
    <row r="19" ht="42" customHeight="1" spans="2:2" x14ac:dyDescent="0.25">
      <c r="B19" s="51" t="s">
        <v>430</v>
      </c>
    </row>
    <row r="20" ht="6" customHeight="1" x14ac:dyDescent="0.25"/>
    <row r="21" ht="18" customHeight="1" spans="2:2" x14ac:dyDescent="0.25">
      <c r="B21" s="52" t="s">
        <v>431</v>
      </c>
    </row>
    <row r="22" ht="6" customHeight="1" x14ac:dyDescent="0.25"/>
    <row r="23" ht="18" customHeight="1" spans="2:2" x14ac:dyDescent="0.25">
      <c r="B23" s="52" t="s">
        <v>432</v>
      </c>
    </row>
    <row r="24" ht="56" customHeight="1" spans="2:2" x14ac:dyDescent="0.25">
      <c r="B24" s="51" t="s">
        <v>433</v>
      </c>
    </row>
    <row r="25" ht="6" customHeight="1" x14ac:dyDescent="0.25"/>
    <row r="26" ht="18" customHeight="1" spans="2:2" x14ac:dyDescent="0.25">
      <c r="B26" s="52" t="s">
        <v>434</v>
      </c>
    </row>
    <row r="27" ht="42" customHeight="1" spans="2:2" x14ac:dyDescent="0.25">
      <c r="B27" s="51" t="s">
        <v>435</v>
      </c>
    </row>
    <row r="28" ht="6" customHeight="1" x14ac:dyDescent="0.25"/>
    <row r="29" ht="18" customHeight="1" spans="2:2" x14ac:dyDescent="0.25">
      <c r="B29" s="52" t="s">
        <v>436</v>
      </c>
    </row>
    <row r="30" ht="42" customHeight="1" spans="2:2" x14ac:dyDescent="0.25">
      <c r="B30" s="51" t="s">
        <v>437</v>
      </c>
    </row>
    <row r="31" ht="6" customHeight="1" x14ac:dyDescent="0.25"/>
    <row r="32" ht="18" customHeight="1" spans="2:2" x14ac:dyDescent="0.25">
      <c r="B32" s="52" t="s">
        <v>438</v>
      </c>
    </row>
    <row r="33" ht="70" customHeight="1" spans="2:2" x14ac:dyDescent="0.25">
      <c r="B33" s="51" t="s">
        <v>439</v>
      </c>
    </row>
    <row r="34" ht="6" customHeight="1" x14ac:dyDescent="0.25"/>
  </sheetData>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D16"/>
  <sheetFormatPr defaultRowHeight="15" outlineLevelRow="0" outlineLevelCol="0" x14ac:dyDescent="55"/>
  <cols>
    <col min="1" max="1" width="42" customWidth="1"/>
    <col min="2" max="2" width="10" customWidth="1"/>
    <col min="3" max="4" width="18" customWidth="1"/>
  </cols>
  <sheetData>
    <row r="1" spans="1:1" x14ac:dyDescent="0.25">
      <c r="A1" s="53" t="s">
        <v>440</v>
      </c>
    </row>
    <row r="3" spans="1:4" x14ac:dyDescent="0.25">
      <c r="A3" s="45" t="s">
        <v>245</v>
      </c>
      <c r="B3" s="46" t="s">
        <v>189</v>
      </c>
      <c r="C3" s="46" t="s">
        <v>192</v>
      </c>
      <c r="D3" s="46" t="s">
        <v>333</v>
      </c>
    </row>
    <row r="4" spans="1:1" x14ac:dyDescent="0.25">
      <c r="A4" s="54" t="s">
        <v>441</v>
      </c>
    </row>
    <row r="5" ht="15" customHeight="1" spans="1:4" x14ac:dyDescent="0.25">
      <c r="A5" t="s">
        <v>442</v>
      </c>
      <c r="B5" s="55">
        <v>2500000</v>
      </c>
      <c r="C5" s="55">
        <v>1200000</v>
      </c>
      <c r="D5" s="55">
        <v>3700000</v>
      </c>
    </row>
    <row r="6" ht="15" customHeight="1" spans="1:4" x14ac:dyDescent="0.25">
      <c r="A6" t="s">
        <v>443</v>
      </c>
      <c r="B6" s="55"/>
      <c r="C6" s="55"/>
      <c r="D6" s="55"/>
    </row>
    <row r="7" ht="15" customHeight="1" spans="1:4" x14ac:dyDescent="0.25">
      <c r="A7" t="s">
        <v>444</v>
      </c>
      <c r="B7" s="55"/>
      <c r="C7" s="55"/>
      <c r="D7" s="55"/>
    </row>
    <row r="8" ht="15" customHeight="1" spans="1:4" x14ac:dyDescent="0.25">
      <c r="A8" t="s">
        <v>445</v>
      </c>
      <c r="B8" s="55">
        <v>2500000</v>
      </c>
      <c r="C8" s="55">
        <v>1200000</v>
      </c>
      <c r="D8" s="55">
        <v>3700000</v>
      </c>
    </row>
    <row r="9" spans="1:1" x14ac:dyDescent="0.25">
      <c r="A9" s="54" t="s">
        <v>446</v>
      </c>
    </row>
    <row r="10" ht="15" customHeight="1" spans="1:4" x14ac:dyDescent="0.25">
      <c r="A10" t="s">
        <v>442</v>
      </c>
      <c r="B10" s="55">
        <v>450000</v>
      </c>
      <c r="C10" s="55">
        <v>200000</v>
      </c>
      <c r="D10" s="55">
        <v>650000</v>
      </c>
    </row>
    <row r="11" ht="15" customHeight="1" spans="1:4" x14ac:dyDescent="0.25">
      <c r="A11" t="s">
        <v>447</v>
      </c>
      <c r="B11" s="55">
        <v>100000</v>
      </c>
      <c r="C11" s="55">
        <v>50000</v>
      </c>
      <c r="D11" s="55">
        <v>150000</v>
      </c>
    </row>
    <row r="12" ht="15" customHeight="1" spans="1:4" x14ac:dyDescent="0.25">
      <c r="A12" t="s">
        <v>448</v>
      </c>
      <c r="B12" s="55"/>
      <c r="C12" s="55"/>
      <c r="D12" s="55"/>
    </row>
    <row r="13" ht="15" customHeight="1" spans="1:4" x14ac:dyDescent="0.25">
      <c r="A13" t="s">
        <v>445</v>
      </c>
      <c r="B13" s="55">
        <v>550000</v>
      </c>
      <c r="C13" s="55">
        <v>250000</v>
      </c>
      <c r="D13" s="55">
        <v>800000</v>
      </c>
    </row>
    <row r="14" spans="1:1" x14ac:dyDescent="0.25">
      <c r="A14" s="54" t="s">
        <v>449</v>
      </c>
    </row>
    <row r="15" ht="15" customHeight="1" spans="1:4" x14ac:dyDescent="0.25">
      <c r="A15" s="15" t="s">
        <v>450</v>
      </c>
      <c r="B15" s="56">
        <v>2050000</v>
      </c>
      <c r="C15" s="56">
        <v>1000000</v>
      </c>
      <c r="D15" s="56">
        <v>3050000</v>
      </c>
    </row>
    <row r="16" ht="15" customHeight="1" spans="1:4" x14ac:dyDescent="0.25">
      <c r="A16" s="15" t="s">
        <v>451</v>
      </c>
      <c r="B16" s="56">
        <v>1950000</v>
      </c>
      <c r="C16" s="56">
        <v>950000</v>
      </c>
      <c r="D16" s="56">
        <v>2900000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53" t="s">
        <v>452</v>
      </c>
    </row>
    <row r="3" spans="1:3" x14ac:dyDescent="0.25">
      <c r="A3" s="18" t="s">
        <v>245</v>
      </c>
      <c r="B3" s="18" t="s">
        <v>453</v>
      </c>
      <c r="C3" s="18" t="s">
        <v>454</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4"/>
  <sheetFormatPr defaultRowHeight="15" outlineLevelRow="0" outlineLevelCol="0" x14ac:dyDescent="55"/>
  <cols>
    <col min="1" max="1" width="42" customWidth="1"/>
    <col min="2" max="2" width="10" customWidth="1"/>
    <col min="3" max="4" width="18" customWidth="1"/>
  </cols>
  <sheetData>
    <row r="1" spans="1:1" x14ac:dyDescent="0.25">
      <c r="A1" s="53" t="s">
        <v>455</v>
      </c>
    </row>
    <row r="3" spans="1:3" x14ac:dyDescent="0.25">
      <c r="A3" s="18" t="s">
        <v>245</v>
      </c>
      <c r="B3" s="18" t="s">
        <v>453</v>
      </c>
      <c r="C3" s="18" t="s">
        <v>454</v>
      </c>
    </row>
    <row r="4" spans="1:3" x14ac:dyDescent="0.25">
      <c r="A4" t="s">
        <v>456</v>
      </c>
      <c r="B4" s="55"/>
      <c r="C4" s="55"/>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10"/>
  <sheetFormatPr defaultRowHeight="15" outlineLevelRow="0" outlineLevelCol="0" x14ac:dyDescent="55"/>
  <cols>
    <col min="1" max="1" width="42" customWidth="1"/>
    <col min="2" max="2" width="10" customWidth="1"/>
    <col min="3" max="4" width="18" customWidth="1"/>
  </cols>
  <sheetData>
    <row r="1" spans="1:1" x14ac:dyDescent="0.25">
      <c r="A1" s="53" t="s">
        <v>457</v>
      </c>
    </row>
    <row r="3" spans="1:3" x14ac:dyDescent="0.25">
      <c r="A3" s="18" t="s">
        <v>245</v>
      </c>
      <c r="B3" s="18" t="s">
        <v>453</v>
      </c>
      <c r="C3" s="18" t="s">
        <v>454</v>
      </c>
    </row>
    <row r="4" spans="1:3" x14ac:dyDescent="0.25">
      <c r="A4" t="s">
        <v>195</v>
      </c>
      <c r="B4" s="55"/>
      <c r="C4" s="55"/>
    </row>
    <row r="5" spans="1:3" x14ac:dyDescent="0.25">
      <c r="A5" t="s">
        <v>458</v>
      </c>
      <c r="B5" s="55"/>
      <c r="C5" s="55"/>
    </row>
    <row r="6" spans="1:3" x14ac:dyDescent="0.25">
      <c r="A6" t="s">
        <v>459</v>
      </c>
      <c r="B6" s="55"/>
      <c r="C6" s="55"/>
    </row>
    <row r="7" spans="1:3" x14ac:dyDescent="0.25">
      <c r="A7" t="s">
        <v>460</v>
      </c>
      <c r="B7" s="55"/>
      <c r="C7" s="55"/>
    </row>
    <row r="8" spans="1:3" x14ac:dyDescent="0.25">
      <c r="A8" t="s">
        <v>461</v>
      </c>
      <c r="B8" s="55"/>
      <c r="C8" s="55"/>
    </row>
    <row r="9" spans="1:3" x14ac:dyDescent="0.25">
      <c r="A9" t="s">
        <v>462</v>
      </c>
      <c r="B9" s="55"/>
      <c r="C9" s="55"/>
    </row>
    <row r="10" spans="1:3" x14ac:dyDescent="0.25">
      <c r="A10" t="s">
        <v>463</v>
      </c>
      <c r="B10" s="55"/>
      <c r="C10" s="55"/>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6"/>
  <sheetFormatPr defaultRowHeight="15" outlineLevelRow="0" outlineLevelCol="0" x14ac:dyDescent="55"/>
  <cols>
    <col min="1" max="1" width="42" customWidth="1"/>
    <col min="2" max="2" width="10" customWidth="1"/>
    <col min="3" max="4" width="18" customWidth="1"/>
  </cols>
  <sheetData>
    <row r="1" spans="1:1" x14ac:dyDescent="0.25">
      <c r="A1" s="53" t="s">
        <v>464</v>
      </c>
    </row>
    <row r="3" spans="1:3" x14ac:dyDescent="0.25">
      <c r="A3" s="18" t="s">
        <v>245</v>
      </c>
      <c r="B3" s="18" t="s">
        <v>453</v>
      </c>
      <c r="C3" s="18" t="s">
        <v>454</v>
      </c>
    </row>
    <row r="4" spans="1:3" x14ac:dyDescent="0.25">
      <c r="A4" t="s">
        <v>465</v>
      </c>
      <c r="B4" s="55"/>
      <c r="C4" s="55"/>
    </row>
    <row r="5" spans="1:3" x14ac:dyDescent="0.25">
      <c r="A5" t="s">
        <v>466</v>
      </c>
      <c r="B5" s="55"/>
      <c r="C5" s="55"/>
    </row>
    <row r="6" spans="1:3" x14ac:dyDescent="0.25">
      <c r="A6" t="s">
        <v>467</v>
      </c>
      <c r="B6" s="55"/>
      <c r="C6" s="55"/>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53" t="s">
        <v>468</v>
      </c>
    </row>
    <row r="3" spans="1:3" x14ac:dyDescent="0.25">
      <c r="A3" s="18" t="s">
        <v>245</v>
      </c>
      <c r="B3" s="18" t="s">
        <v>453</v>
      </c>
      <c r="C3" s="18" t="s">
        <v>454</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7"/>
  <sheetFormatPr defaultRowHeight="15" outlineLevelRow="0" outlineLevelCol="0" x14ac:dyDescent="55"/>
  <cols>
    <col min="1" max="1" width="42" customWidth="1"/>
    <col min="2" max="2" width="10" customWidth="1"/>
    <col min="3" max="4" width="18" customWidth="1"/>
  </cols>
  <sheetData>
    <row r="1" spans="1:1" x14ac:dyDescent="0.25">
      <c r="A1" s="53" t="s">
        <v>469</v>
      </c>
    </row>
    <row r="3" spans="1:3" x14ac:dyDescent="0.25">
      <c r="A3" s="18" t="s">
        <v>245</v>
      </c>
      <c r="B3" s="18" t="s">
        <v>453</v>
      </c>
      <c r="C3" s="18" t="s">
        <v>454</v>
      </c>
    </row>
    <row r="4" spans="1:3" x14ac:dyDescent="0.25">
      <c r="A4" t="s">
        <v>470</v>
      </c>
      <c r="B4" s="20"/>
      <c r="C4" s="20"/>
    </row>
    <row r="5" spans="1:3" x14ac:dyDescent="0.25">
      <c r="A5" t="s">
        <v>471</v>
      </c>
      <c r="B5" s="20"/>
      <c r="C5" s="20"/>
    </row>
    <row r="6" spans="1:3" x14ac:dyDescent="0.25">
      <c r="A6" t="s">
        <v>472</v>
      </c>
      <c r="B6" s="20"/>
      <c r="C6" s="20"/>
    </row>
    <row r="7" spans="1:3" x14ac:dyDescent="0.25">
      <c r="A7" s="15" t="s">
        <v>333</v>
      </c>
      <c r="B7" s="48"/>
      <c r="C7" s="48"/>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7"/>
  <sheetFormatPr defaultRowHeight="15" outlineLevelRow="0" outlineLevelCol="0" x14ac:dyDescent="55"/>
  <cols>
    <col min="1" max="1" width="42" customWidth="1"/>
    <col min="2" max="2" width="10" customWidth="1"/>
    <col min="3" max="4" width="18" customWidth="1"/>
  </cols>
  <sheetData>
    <row r="1" spans="1:1" x14ac:dyDescent="0.25">
      <c r="A1" s="53" t="s">
        <v>473</v>
      </c>
    </row>
    <row r="3" spans="1:3" x14ac:dyDescent="0.25">
      <c r="A3" s="18" t="s">
        <v>245</v>
      </c>
      <c r="B3" s="18" t="s">
        <v>453</v>
      </c>
      <c r="C3" s="18" t="s">
        <v>454</v>
      </c>
    </row>
    <row r="4" spans="1:2" x14ac:dyDescent="0.25">
      <c r="A4" t="s">
        <v>170</v>
      </c>
      <c r="B4" s="55">
        <v>50000</v>
      </c>
    </row>
    <row r="5" spans="1:2" x14ac:dyDescent="0.25">
      <c r="A5" t="s">
        <v>172</v>
      </c>
      <c r="B5" s="55">
        <v>250000</v>
      </c>
    </row>
    <row r="6" spans="1:2" x14ac:dyDescent="0.25">
      <c r="A6" t="s">
        <v>175</v>
      </c>
      <c r="B6" s="55">
        <v>500000</v>
      </c>
    </row>
    <row r="7" spans="1:2" x14ac:dyDescent="0.25">
      <c r="A7" s="15" t="s">
        <v>474</v>
      </c>
      <c r="B7" s="56">
        <v>800000</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B5"/>
  <sheetFormatPr defaultRowHeight="15" outlineLevelRow="0" outlineLevelCol="0" x14ac:dyDescent="55"/>
  <cols>
    <col min="1" max="1" width="42" customWidth="1"/>
    <col min="2" max="2" width="10" customWidth="1"/>
    <col min="3" max="4" width="18" customWidth="1"/>
  </cols>
  <sheetData>
    <row r="1" spans="1:1" x14ac:dyDescent="0.25">
      <c r="A1" s="53" t="s">
        <v>475</v>
      </c>
    </row>
    <row r="3" spans="1:2" x14ac:dyDescent="0.25">
      <c r="A3" t="s">
        <v>476</v>
      </c>
      <c r="B3" s="55"/>
    </row>
    <row r="4" spans="1:2" x14ac:dyDescent="0.25">
      <c r="A4" t="s">
        <v>477</v>
      </c>
      <c r="B4" s="55"/>
    </row>
    <row r="5" spans="1:2" x14ac:dyDescent="0.25">
      <c r="A5" t="s">
        <v>478</v>
      </c>
      <c r="B5" s="55"/>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7"/>
  <sheetFormatPr defaultRowHeight="15" outlineLevelRow="0" outlineLevelCol="0" x14ac:dyDescent="55"/>
  <cols>
    <col min="1" max="1" width="42" customWidth="1"/>
    <col min="2" max="2" width="10" customWidth="1"/>
    <col min="3" max="4" width="18" customWidth="1"/>
  </cols>
  <sheetData>
    <row r="1" spans="1:1" x14ac:dyDescent="0.25">
      <c r="A1" s="53" t="s">
        <v>479</v>
      </c>
    </row>
    <row r="3" spans="1:3" x14ac:dyDescent="0.25">
      <c r="A3" s="18" t="s">
        <v>245</v>
      </c>
      <c r="B3" s="18" t="s">
        <v>453</v>
      </c>
      <c r="C3" s="18" t="s">
        <v>454</v>
      </c>
    </row>
    <row r="4" spans="1:3" x14ac:dyDescent="0.25">
      <c r="A4" t="s">
        <v>210</v>
      </c>
      <c r="B4" s="55"/>
      <c r="C4" s="55"/>
    </row>
    <row r="5" spans="1:3" x14ac:dyDescent="0.25">
      <c r="A5" t="s">
        <v>332</v>
      </c>
      <c r="B5" s="55"/>
      <c r="C5" s="55"/>
    </row>
    <row r="6" spans="1:3" x14ac:dyDescent="0.25">
      <c r="A6" t="s">
        <v>212</v>
      </c>
      <c r="B6" s="55"/>
      <c r="C6" s="55"/>
    </row>
    <row r="7" spans="1:3" x14ac:dyDescent="0.25">
      <c r="A7" t="s">
        <v>480</v>
      </c>
      <c r="B7" s="55"/>
      <c r="C7" s="55"/>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E6"/>
  <sheetFormatPr defaultRowHeight="15" outlineLevelRow="0" outlineLevelCol="0" x14ac:dyDescent="55"/>
  <cols>
    <col min="1" max="1" width="42" customWidth="1"/>
    <col min="2" max="2" width="10" customWidth="1"/>
    <col min="3" max="4" width="18" customWidth="1"/>
  </cols>
  <sheetData>
    <row r="1" spans="1:1" x14ac:dyDescent="0.25">
      <c r="A1" s="53" t="s">
        <v>481</v>
      </c>
    </row>
    <row r="2" spans="1:1" x14ac:dyDescent="0.25">
      <c r="A2" s="54" t="s">
        <v>482</v>
      </c>
    </row>
    <row r="3" spans="1:5" x14ac:dyDescent="0.25">
      <c r="A3" s="18" t="s">
        <v>483</v>
      </c>
      <c r="B3" s="18" t="s">
        <v>484</v>
      </c>
      <c r="C3" s="18" t="s">
        <v>485</v>
      </c>
      <c r="D3" s="18" t="s">
        <v>453</v>
      </c>
      <c r="E3" s="18" t="s">
        <v>454</v>
      </c>
    </row>
    <row r="4" spans="1:5" x14ac:dyDescent="0.25">
      <c r="A4" t="s">
        <v>205</v>
      </c>
      <c r="B4" t="s">
        <v>486</v>
      </c>
      <c r="D4" s="55">
        <v>800000</v>
      </c>
      <c r="E4" s="55"/>
    </row>
    <row r="6" spans="1:1" x14ac:dyDescent="0.25">
      <c r="A6" s="54" t="s">
        <v>487</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8"/>
  <sheetFormatPr defaultRowHeight="15" outlineLevelRow="0" outlineLevelCol="0" x14ac:dyDescent="55"/>
  <cols>
    <col min="1" max="1" width="42" customWidth="1"/>
    <col min="2" max="2" width="10" customWidth="1"/>
    <col min="3" max="4" width="18" customWidth="1"/>
  </cols>
  <sheetData>
    <row r="1" spans="1:1" x14ac:dyDescent="0.25">
      <c r="A1" s="53" t="s">
        <v>488</v>
      </c>
    </row>
    <row r="3" spans="1:3" x14ac:dyDescent="0.25">
      <c r="A3" s="18" t="s">
        <v>245</v>
      </c>
      <c r="B3" s="18" t="s">
        <v>453</v>
      </c>
      <c r="C3" s="18" t="s">
        <v>454</v>
      </c>
    </row>
    <row r="4" spans="1:3" x14ac:dyDescent="0.25">
      <c r="A4" t="s">
        <v>489</v>
      </c>
      <c r="B4" s="55"/>
      <c r="C4" s="55"/>
    </row>
    <row r="5" spans="1:3" x14ac:dyDescent="0.25">
      <c r="A5" t="s">
        <v>490</v>
      </c>
      <c r="B5" s="55"/>
      <c r="C5" s="55"/>
    </row>
    <row r="6" spans="1:3" x14ac:dyDescent="0.25">
      <c r="A6" t="s">
        <v>491</v>
      </c>
      <c r="B6" s="55"/>
      <c r="C6" s="55"/>
    </row>
    <row r="7" spans="1:3" x14ac:dyDescent="0.25">
      <c r="A7" t="s">
        <v>492</v>
      </c>
      <c r="B7" s="55"/>
      <c r="C7" s="55"/>
    </row>
    <row r="8" spans="1:3" x14ac:dyDescent="0.25">
      <c r="A8" t="s">
        <v>493</v>
      </c>
      <c r="B8" s="55"/>
      <c r="C8" s="55"/>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8"/>
  <sheetFormatPr defaultRowHeight="15" outlineLevelRow="0" outlineLevelCol="0" x14ac:dyDescent="55"/>
  <cols>
    <col min="1" max="1" width="42" customWidth="1"/>
    <col min="2" max="2" width="10" customWidth="1"/>
    <col min="3" max="4" width="18" customWidth="1"/>
  </cols>
  <sheetData>
    <row r="1" spans="1:1" x14ac:dyDescent="0.25">
      <c r="A1" s="53" t="s">
        <v>494</v>
      </c>
    </row>
    <row r="3" spans="1:3" x14ac:dyDescent="0.25">
      <c r="A3" s="18" t="s">
        <v>245</v>
      </c>
      <c r="B3" s="18" t="s">
        <v>453</v>
      </c>
      <c r="C3" s="18" t="s">
        <v>454</v>
      </c>
    </row>
    <row r="4" spans="1:3" x14ac:dyDescent="0.25">
      <c r="A4" t="s">
        <v>495</v>
      </c>
      <c r="B4" s="55"/>
      <c r="C4" s="55"/>
    </row>
    <row r="5" spans="1:3" x14ac:dyDescent="0.25">
      <c r="A5" t="s">
        <v>496</v>
      </c>
      <c r="B5" s="55"/>
      <c r="C5" s="55"/>
    </row>
    <row r="6" spans="1:3" x14ac:dyDescent="0.25">
      <c r="A6" t="s">
        <v>201</v>
      </c>
      <c r="B6" s="55"/>
      <c r="C6" s="55"/>
    </row>
    <row r="7" spans="1:3" x14ac:dyDescent="0.25">
      <c r="A7" t="s">
        <v>497</v>
      </c>
      <c r="B7" s="55"/>
      <c r="C7" s="55"/>
    </row>
    <row r="8" spans="1:3" x14ac:dyDescent="0.25">
      <c r="A8" t="s">
        <v>498</v>
      </c>
      <c r="B8" s="55"/>
      <c r="C8" s="55"/>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53" t="s">
        <v>499</v>
      </c>
    </row>
    <row r="3" spans="1:3" x14ac:dyDescent="0.25">
      <c r="A3" s="18" t="s">
        <v>245</v>
      </c>
      <c r="B3" s="18" t="s">
        <v>453</v>
      </c>
      <c r="C3" s="18" t="s">
        <v>454</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9"/>
  <sheetFormatPr defaultRowHeight="15" outlineLevelRow="0" outlineLevelCol="0" x14ac:dyDescent="55"/>
  <cols>
    <col min="1" max="1" width="42" customWidth="1"/>
    <col min="2" max="2" width="10" customWidth="1"/>
    <col min="3" max="4" width="18" customWidth="1"/>
  </cols>
  <sheetData>
    <row r="1" spans="1:1" x14ac:dyDescent="0.25">
      <c r="A1" s="53" t="s">
        <v>500</v>
      </c>
    </row>
    <row r="3" spans="1:3" x14ac:dyDescent="0.25">
      <c r="A3" s="18" t="s">
        <v>245</v>
      </c>
      <c r="B3" s="18" t="s">
        <v>453</v>
      </c>
      <c r="C3" s="18" t="s">
        <v>454</v>
      </c>
    </row>
    <row r="4" spans="1:3" x14ac:dyDescent="0.25">
      <c r="A4" t="s">
        <v>501</v>
      </c>
      <c r="B4" s="55"/>
      <c r="C4" s="55"/>
    </row>
    <row r="5" spans="1:3" x14ac:dyDescent="0.25">
      <c r="A5" t="s">
        <v>502</v>
      </c>
      <c r="B5" s="55"/>
      <c r="C5" s="55"/>
    </row>
    <row r="6" spans="1:3" x14ac:dyDescent="0.25">
      <c r="A6" t="s">
        <v>503</v>
      </c>
      <c r="B6" s="55"/>
      <c r="C6" s="55"/>
    </row>
    <row r="7" spans="1:3" x14ac:dyDescent="0.25">
      <c r="A7" t="s">
        <v>504</v>
      </c>
      <c r="B7" s="55"/>
      <c r="C7" s="55"/>
    </row>
    <row r="8" spans="1:3" x14ac:dyDescent="0.25">
      <c r="A8" t="s">
        <v>505</v>
      </c>
      <c r="B8" s="55"/>
      <c r="C8" s="55"/>
    </row>
    <row r="9" spans="1:3" x14ac:dyDescent="0.25">
      <c r="A9" t="s">
        <v>506</v>
      </c>
      <c r="B9" s="55"/>
      <c r="C9" s="55"/>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7"/>
  <sheetFormatPr defaultRowHeight="15" outlineLevelRow="0" outlineLevelCol="0" x14ac:dyDescent="55"/>
  <cols>
    <col min="1" max="1" width="42" customWidth="1"/>
    <col min="2" max="2" width="10" customWidth="1"/>
    <col min="3" max="4" width="18" customWidth="1"/>
  </cols>
  <sheetData>
    <row r="1" spans="1:1" x14ac:dyDescent="0.25">
      <c r="A1" s="53" t="s">
        <v>507</v>
      </c>
    </row>
    <row r="3" spans="1:3" x14ac:dyDescent="0.25">
      <c r="A3" s="18" t="s">
        <v>245</v>
      </c>
      <c r="B3" s="18" t="s">
        <v>453</v>
      </c>
      <c r="C3" s="18" t="s">
        <v>454</v>
      </c>
    </row>
    <row r="4" spans="1:3" x14ac:dyDescent="0.25">
      <c r="A4" t="s">
        <v>508</v>
      </c>
      <c r="B4" s="55"/>
      <c r="C4" s="55"/>
    </row>
    <row r="5" spans="1:3" x14ac:dyDescent="0.25">
      <c r="A5" t="s">
        <v>219</v>
      </c>
      <c r="B5" s="55"/>
      <c r="C5" s="55"/>
    </row>
    <row r="6" spans="1:3" x14ac:dyDescent="0.25">
      <c r="A6" t="s">
        <v>509</v>
      </c>
      <c r="B6" s="55"/>
      <c r="C6" s="55"/>
    </row>
    <row r="7" spans="1:3" x14ac:dyDescent="0.25">
      <c r="A7" t="s">
        <v>510</v>
      </c>
      <c r="B7" s="55"/>
      <c r="C7" s="55"/>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5"/>
  <sheetFormatPr defaultRowHeight="15" outlineLevelRow="0" outlineLevelCol="0" x14ac:dyDescent="55"/>
  <cols>
    <col min="1" max="1" width="42" customWidth="1"/>
    <col min="2" max="2" width="10" customWidth="1"/>
    <col min="3" max="4" width="18" customWidth="1"/>
  </cols>
  <sheetData>
    <row r="1" spans="1:1" x14ac:dyDescent="0.25">
      <c r="A1" s="53" t="s">
        <v>511</v>
      </c>
    </row>
    <row r="3" spans="1:3" x14ac:dyDescent="0.25">
      <c r="A3" s="18" t="s">
        <v>245</v>
      </c>
      <c r="B3" s="18" t="s">
        <v>453</v>
      </c>
      <c r="C3" s="18" t="s">
        <v>454</v>
      </c>
    </row>
    <row r="4" spans="1:3" x14ac:dyDescent="0.25">
      <c r="A4" t="s">
        <v>512</v>
      </c>
      <c r="B4" s="55"/>
      <c r="C4" s="55"/>
    </row>
    <row r="5" spans="1:3" x14ac:dyDescent="0.25">
      <c r="A5" t="s">
        <v>513</v>
      </c>
      <c r="B5" s="55"/>
      <c r="C5" s="55"/>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10"/>
  <sheetFormatPr defaultRowHeight="15" outlineLevelRow="0" outlineLevelCol="0" x14ac:dyDescent="55"/>
  <cols>
    <col min="1" max="1" width="42" customWidth="1"/>
    <col min="2" max="2" width="10" customWidth="1"/>
    <col min="3" max="4" width="18" customWidth="1"/>
  </cols>
  <sheetData>
    <row r="1" spans="1:1" x14ac:dyDescent="0.25">
      <c r="A1" s="53" t="s">
        <v>514</v>
      </c>
    </row>
    <row r="3" spans="1:3" x14ac:dyDescent="0.25">
      <c r="A3" s="18" t="s">
        <v>245</v>
      </c>
      <c r="B3" s="18" t="s">
        <v>453</v>
      </c>
      <c r="C3" s="18" t="s">
        <v>454</v>
      </c>
    </row>
    <row r="4" spans="1:3" x14ac:dyDescent="0.25">
      <c r="A4" t="s">
        <v>515</v>
      </c>
      <c r="B4" s="55"/>
      <c r="C4" s="55"/>
    </row>
    <row r="5" spans="1:3" x14ac:dyDescent="0.25">
      <c r="A5" t="s">
        <v>516</v>
      </c>
      <c r="B5" s="55"/>
      <c r="C5" s="55"/>
    </row>
    <row r="6" spans="1:3" x14ac:dyDescent="0.25">
      <c r="A6" t="s">
        <v>517</v>
      </c>
      <c r="B6" s="55"/>
      <c r="C6" s="55"/>
    </row>
    <row r="7" spans="1:3" x14ac:dyDescent="0.25">
      <c r="A7" t="s">
        <v>518</v>
      </c>
      <c r="B7" s="55"/>
      <c r="C7" s="55"/>
    </row>
    <row r="8" spans="1:3" x14ac:dyDescent="0.25">
      <c r="A8" t="s">
        <v>519</v>
      </c>
      <c r="B8" s="55"/>
      <c r="C8" s="55"/>
    </row>
    <row r="9" spans="1:3" x14ac:dyDescent="0.25">
      <c r="A9" t="s">
        <v>520</v>
      </c>
      <c r="B9" s="55"/>
      <c r="C9" s="55"/>
    </row>
    <row r="10" spans="1:3" x14ac:dyDescent="0.25">
      <c r="A10" t="s">
        <v>521</v>
      </c>
      <c r="B10" s="55"/>
      <c r="C10" s="55"/>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3"/>
  <sheetFormatPr defaultRowHeight="15" outlineLevelRow="0" outlineLevelCol="0" x14ac:dyDescent="55"/>
  <cols>
    <col min="1" max="1" width="42" customWidth="1"/>
    <col min="2" max="2" width="10" customWidth="1"/>
    <col min="3" max="4" width="18" customWidth="1"/>
  </cols>
  <sheetData>
    <row r="1" spans="1:1" x14ac:dyDescent="0.25">
      <c r="A1" s="53" t="s">
        <v>522</v>
      </c>
    </row>
    <row r="3" spans="1:3" x14ac:dyDescent="0.25">
      <c r="A3" s="18" t="s">
        <v>245</v>
      </c>
      <c r="B3" s="18" t="s">
        <v>453</v>
      </c>
      <c r="C3" s="18" t="s">
        <v>454</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C9"/>
  <sheetFormatPr defaultRowHeight="15" outlineLevelRow="0" outlineLevelCol="0" x14ac:dyDescent="55"/>
  <cols>
    <col min="1" max="1" width="42" customWidth="1"/>
    <col min="2" max="2" width="10" customWidth="1"/>
    <col min="3" max="4" width="18" customWidth="1"/>
  </cols>
  <sheetData>
    <row r="1" spans="1:1" x14ac:dyDescent="0.25">
      <c r="A1" s="53" t="s">
        <v>523</v>
      </c>
    </row>
    <row r="3" spans="1:3" x14ac:dyDescent="0.25">
      <c r="A3" s="18" t="s">
        <v>245</v>
      </c>
      <c r="B3" s="18" t="s">
        <v>453</v>
      </c>
      <c r="C3" s="18" t="s">
        <v>454</v>
      </c>
    </row>
    <row r="4" spans="1:3" x14ac:dyDescent="0.25">
      <c r="A4" t="s">
        <v>524</v>
      </c>
      <c r="B4" s="55"/>
      <c r="C4" s="55"/>
    </row>
    <row r="5" spans="1:3" x14ac:dyDescent="0.25">
      <c r="A5" t="s">
        <v>525</v>
      </c>
      <c r="B5" s="55"/>
      <c r="C5" s="55"/>
    </row>
    <row r="6" spans="1:3" x14ac:dyDescent="0.25">
      <c r="A6" t="s">
        <v>526</v>
      </c>
      <c r="B6" s="55"/>
      <c r="C6" s="55"/>
    </row>
    <row r="7" spans="1:3" x14ac:dyDescent="0.25">
      <c r="A7" t="s">
        <v>527</v>
      </c>
      <c r="B7" s="55"/>
      <c r="C7" s="55"/>
    </row>
    <row r="8" spans="1:3" x14ac:dyDescent="0.25">
      <c r="A8" t="s">
        <v>528</v>
      </c>
      <c r="B8" s="55"/>
      <c r="C8" s="55"/>
    </row>
    <row r="9" spans="1:3" x14ac:dyDescent="0.25">
      <c r="A9" t="s">
        <v>238</v>
      </c>
      <c r="B9" s="55"/>
      <c r="C9" s="55"/>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B10"/>
  <sheetFormatPr defaultRowHeight="15" outlineLevelRow="0" outlineLevelCol="0" x14ac:dyDescent="55"/>
  <cols>
    <col min="1" max="1" width="42" customWidth="1"/>
    <col min="2" max="2" width="10" customWidth="1"/>
    <col min="3" max="4" width="18" customWidth="1"/>
  </cols>
  <sheetData>
    <row r="1" spans="1:1" x14ac:dyDescent="0.25">
      <c r="A1" s="53" t="s">
        <v>529</v>
      </c>
    </row>
    <row r="3" spans="1:2" x14ac:dyDescent="0.25">
      <c r="A3" t="s">
        <v>530</v>
      </c>
      <c r="B3" s="55">
        <v>549450</v>
      </c>
    </row>
    <row r="4" spans="1:2" x14ac:dyDescent="0.25">
      <c r="A4" t="s">
        <v>531</v>
      </c>
      <c r="B4" s="55"/>
    </row>
    <row r="5" spans="1:2" x14ac:dyDescent="0.25">
      <c r="A5" t="s">
        <v>532</v>
      </c>
      <c r="B5" s="55">
        <v>150000</v>
      </c>
    </row>
    <row r="6" spans="1:2" x14ac:dyDescent="0.25">
      <c r="A6" t="s">
        <v>533</v>
      </c>
      <c r="B6" s="55"/>
    </row>
    <row r="7" spans="1:2" x14ac:dyDescent="0.25">
      <c r="A7" t="s">
        <v>534</v>
      </c>
      <c r="B7" s="55">
        <v>699450</v>
      </c>
    </row>
    <row r="8" spans="1:2" x14ac:dyDescent="0.25">
      <c r="A8" t="s">
        <v>535</v>
      </c>
      <c r="B8" s="55">
        <v>1748.63</v>
      </c>
    </row>
    <row r="9" spans="1:2" x14ac:dyDescent="0.25">
      <c r="A9" t="s">
        <v>536</v>
      </c>
      <c r="B9" s="55"/>
    </row>
    <row r="10" spans="1:2" x14ac:dyDescent="0.25">
      <c r="A10" t="s">
        <v>537</v>
      </c>
      <c r="B10" s="55"/>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F5F9"/>
  </sheetPr>
  <dimension ref="A1:G3"/>
  <sheetFormatPr defaultRowHeight="15" outlineLevelRow="0" outlineLevelCol="0" x14ac:dyDescent="55"/>
  <cols>
    <col min="1" max="1" width="42" customWidth="1"/>
    <col min="2" max="2" width="10" customWidth="1"/>
    <col min="3" max="4" width="18" customWidth="1"/>
  </cols>
  <sheetData>
    <row r="1" spans="1:1" x14ac:dyDescent="0.25">
      <c r="A1" s="53" t="s">
        <v>538</v>
      </c>
    </row>
    <row r="3" spans="1:7" x14ac:dyDescent="0.25">
      <c r="A3" s="18" t="s">
        <v>539</v>
      </c>
      <c r="B3" s="18" t="s">
        <v>540</v>
      </c>
      <c r="C3" s="18" t="s">
        <v>541</v>
      </c>
      <c r="D3" s="18" t="s">
        <v>542</v>
      </c>
      <c r="E3" s="18" t="s">
        <v>543</v>
      </c>
      <c r="F3" s="18" t="s">
        <v>544</v>
      </c>
      <c r="G3" s="18" t="s">
        <v>545</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1F5F9"/>
  </sheetPr>
  <dimension ref="A1:B11"/>
  <sheetFormatPr defaultRowHeight="15" outlineLevelRow="0" outlineLevelCol="0" x14ac:dyDescent="55"/>
  <cols>
    <col min="1" max="1" width="42" customWidth="1"/>
    <col min="2" max="2" width="10" customWidth="1"/>
    <col min="3" max="4" width="18" customWidth="1"/>
  </cols>
  <sheetData>
    <row r="1" spans="1:1" x14ac:dyDescent="0.25">
      <c r="A1" s="53" t="s">
        <v>546</v>
      </c>
    </row>
    <row r="2" spans="1:1" x14ac:dyDescent="0.25">
      <c r="A2" t="s">
        <v>547</v>
      </c>
    </row>
    <row r="4" spans="1:2" x14ac:dyDescent="0.25">
      <c r="A4" t="s">
        <v>548</v>
      </c>
      <c r="B4" s="55">
        <v>549450</v>
      </c>
    </row>
    <row r="5" spans="1:2" x14ac:dyDescent="0.25">
      <c r="A5" t="s">
        <v>531</v>
      </c>
      <c r="B5" s="55"/>
    </row>
    <row r="6" spans="1:2" x14ac:dyDescent="0.25">
      <c r="A6" t="s">
        <v>532</v>
      </c>
      <c r="B6" s="55">
        <v>150000</v>
      </c>
    </row>
    <row r="7" spans="1:2" x14ac:dyDescent="0.25">
      <c r="A7" t="s">
        <v>533</v>
      </c>
      <c r="B7" s="55"/>
    </row>
    <row r="8" spans="1:2" x14ac:dyDescent="0.25">
      <c r="A8" t="s">
        <v>534</v>
      </c>
      <c r="B8" s="55">
        <v>699450</v>
      </c>
    </row>
    <row r="9" spans="1:2" x14ac:dyDescent="0.25">
      <c r="A9" t="s">
        <v>432</v>
      </c>
      <c r="B9" s="55">
        <v>1748.63</v>
      </c>
    </row>
    <row r="10" spans="1:2" x14ac:dyDescent="0.25">
      <c r="A10" t="s">
        <v>549</v>
      </c>
      <c r="B10" s="55"/>
    </row>
    <row r="11" spans="1:2" x14ac:dyDescent="0.25">
      <c r="A11" t="s">
        <v>537</v>
      </c>
      <c r="B11" s="55"/>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D5"/>
  <sheetFormatPr defaultRowHeight="15" outlineLevelRow="0" outlineLevelCol="0" x14ac:dyDescent="55"/>
  <cols>
    <col min="1" max="1" width="42" customWidth="1"/>
    <col min="2" max="2" width="10" customWidth="1"/>
    <col min="3" max="4" width="18" customWidth="1"/>
  </cols>
  <sheetData>
    <row r="1" spans="1:1" x14ac:dyDescent="0.25">
      <c r="A1" s="53" t="s">
        <v>180</v>
      </c>
    </row>
    <row r="3" spans="1:4" x14ac:dyDescent="0.25">
      <c r="A3" s="57" t="s">
        <v>158</v>
      </c>
      <c r="B3" s="57" t="s">
        <v>167</v>
      </c>
      <c r="C3" s="57" t="s">
        <v>168</v>
      </c>
      <c r="D3" s="57" t="s">
        <v>169</v>
      </c>
    </row>
    <row r="4" spans="1:4" x14ac:dyDescent="0.25">
      <c r="A4" t="s">
        <v>178</v>
      </c>
      <c r="B4" s="55">
        <v>180000</v>
      </c>
      <c r="C4" s="55"/>
      <c r="D4" s="55">
        <v>180000</v>
      </c>
    </row>
    <row r="5" spans="1:4" x14ac:dyDescent="0.25">
      <c r="A5" t="s">
        <v>181</v>
      </c>
      <c r="B5" s="55">
        <v>95000</v>
      </c>
      <c r="C5" s="55"/>
      <c r="D5" s="55">
        <v>95000</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D5"/>
  <sheetFormatPr defaultRowHeight="15" outlineLevelRow="0" outlineLevelCol="0" x14ac:dyDescent="55"/>
  <cols>
    <col min="1" max="1" width="42" customWidth="1"/>
    <col min="2" max="2" width="10" customWidth="1"/>
    <col min="3" max="4" width="18" customWidth="1"/>
  </cols>
  <sheetData>
    <row r="1" spans="1:1" x14ac:dyDescent="0.25">
      <c r="A1" s="53" t="s">
        <v>199</v>
      </c>
    </row>
    <row r="3" spans="1:4" x14ac:dyDescent="0.25">
      <c r="A3" s="57" t="s">
        <v>158</v>
      </c>
      <c r="B3" s="57" t="s">
        <v>167</v>
      </c>
      <c r="C3" s="57" t="s">
        <v>168</v>
      </c>
      <c r="D3" s="57" t="s">
        <v>169</v>
      </c>
    </row>
    <row r="4" spans="1:4" x14ac:dyDescent="0.25">
      <c r="A4" t="s">
        <v>197</v>
      </c>
      <c r="B4" s="55"/>
      <c r="C4" s="55">
        <v>140000</v>
      </c>
      <c r="D4" s="55">
        <v>140000</v>
      </c>
    </row>
    <row r="5" spans="1:4" x14ac:dyDescent="0.25">
      <c r="A5" t="s">
        <v>200</v>
      </c>
      <c r="B5" s="55"/>
      <c r="C5" s="55">
        <v>75000</v>
      </c>
      <c r="D5" s="55">
        <v>75000</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6A34A"/>
  </sheetPr>
  <dimension ref="A1:D5"/>
  <sheetFormatPr defaultRowHeight="15" outlineLevelRow="0" outlineLevelCol="0" x14ac:dyDescent="55"/>
  <cols>
    <col min="1" max="1" width="42" customWidth="1"/>
    <col min="2" max="2" width="10" customWidth="1"/>
    <col min="3" max="4" width="18" customWidth="1"/>
  </cols>
  <sheetData>
    <row r="1" spans="1:1" x14ac:dyDescent="0.25">
      <c r="A1" s="53" t="s">
        <v>550</v>
      </c>
    </row>
    <row r="3" spans="1:4" x14ac:dyDescent="0.25">
      <c r="A3" s="57" t="s">
        <v>551</v>
      </c>
      <c r="B3" s="57" t="s">
        <v>552</v>
      </c>
      <c r="C3" s="57" t="s">
        <v>453</v>
      </c>
      <c r="D3" s="57" t="s">
        <v>454</v>
      </c>
    </row>
    <row r="4" spans="1:4" x14ac:dyDescent="0.25">
      <c r="A4" t="s">
        <v>172</v>
      </c>
      <c r="B4" t="s">
        <v>553</v>
      </c>
      <c r="C4" s="55">
        <v>250000</v>
      </c>
      <c r="D4" s="55"/>
    </row>
    <row r="5" spans="1:4" x14ac:dyDescent="0.25">
      <c r="A5" t="s">
        <v>175</v>
      </c>
      <c r="B5" t="s">
        <v>554</v>
      </c>
      <c r="C5" s="55">
        <v>500000</v>
      </c>
      <c r="D5" s="55"/>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Workings</vt:lpstr>
      <vt:lpstr>Instructions</vt:lpstr>
      <vt:lpstr>Enter Details</vt:lpstr>
      <vt:lpstr>Trial Balance</vt:lpstr>
      <vt:lpstr>Balance Sheet</vt:lpstr>
      <vt:lpstr>Income Statement</vt:lpstr>
      <vt:lpstr>Change in Equity</vt:lpstr>
      <vt:lpstr>Cash Flow</vt:lpstr>
      <vt:lpstr>Note 1 - Policies</vt:lpstr>
      <vt:lpstr>Note 2 - Judgments</vt:lpstr>
      <vt:lpstr>Note 3.1 - PPE</vt:lpstr>
      <vt:lpstr>Note 3.2 - Investments</vt:lpstr>
      <vt:lpstr>Note 3.3 - Receivables</vt:lpstr>
      <vt:lpstr>Note 3.4 - Other Recv</vt:lpstr>
      <vt:lpstr>Note 3.5 - NC Assets</vt:lpstr>
      <vt:lpstr>Note 3.6 - CA Other</vt:lpstr>
      <vt:lpstr>Note 3.7 - Inventories</vt:lpstr>
      <vt:lpstr>Note 3.8 - Cash</vt:lpstr>
      <vt:lpstr>Note 3.9 - Share Capital</vt:lpstr>
      <vt:lpstr>Note 3.10 - Reserves</vt:lpstr>
      <vt:lpstr>Note 3.11 - Borrowings</vt:lpstr>
      <vt:lpstr>Note 3.12 - Emp Benefits</vt:lpstr>
      <vt:lpstr>Note 3.13 - Payables</vt:lpstr>
      <vt:lpstr>Note 3.14 - Provisions</vt:lpstr>
      <vt:lpstr>Note 3.17 - Revenue</vt:lpstr>
      <vt:lpstr>Note 3.18 - Materials</vt:lpstr>
      <vt:lpstr>Note 3.19 - Direct Exp</vt:lpstr>
      <vt:lpstr>Note 3.20 - Emp Expense</vt:lpstr>
      <vt:lpstr>Note 3.21 - Impairment</vt:lpstr>
      <vt:lpstr>Note 3.22 - Admin Exp</vt:lpstr>
      <vt:lpstr>Note 3.23 - Tax</vt:lpstr>
      <vt:lpstr>Adjustments</vt:lpstr>
      <vt:lpstr>Tax Calculation</vt:lpstr>
      <vt:lpstr>Sundry Debtors</vt:lpstr>
      <vt:lpstr>Sundry Creditors</vt:lpstr>
      <vt:lpstr>Bank Accounts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NFRS Reporter</dc:creator>
  <dc:title/>
  <dc:subject/>
  <dc:description/>
  <cp:keywords/>
  <cp:category/>
  <cp:lastModifiedBy>NFRS Reporter</cp:lastModifiedBy>
  <dcterms:created xsi:type="dcterms:W3CDTF">2026-07-02T03:44:50Z</dcterms:created>
  <dcterms:modified xsi:type="dcterms:W3CDTF">2026-07-02T03:44:50Z</dcterms:modified>
</cp:coreProperties>
</file>